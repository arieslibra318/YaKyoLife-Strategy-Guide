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總表" sheetId="1" state="visible" r:id="rId3"/>
    <sheet name="未專精搜尋" sheetId="2" state="visible" r:id="rId4"/>
    <sheet name="各守位比較" sheetId="3" state="visible" r:id="rId5"/>
    <sheet name="說明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r01aqsfi </t>
        </r>
        <r>
          <rPr>
            <sz val="10"/>
            <rFont val="Noto Sans CJK SC"/>
            <family val="2"/>
          </rPr>
          <t xml:space="preserve">未專精的 </t>
        </r>
        <r>
          <rPr>
            <sz val="10"/>
            <rFont val="Arial"/>
            <family val="2"/>
          </rPr>
          <t xml:space="preserve">575.24 </t>
        </r>
        <r>
          <rPr>
            <sz val="10"/>
            <rFont val="Noto Sans CJK SC"/>
            <family val="2"/>
          </rPr>
          <t xml:space="preserve">億是先前以「捕手＋大學」限制驗證過的路線。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6" authorId="0">
      <text>
        <r>
          <rPr>
            <sz val="10"/>
            <rFont val="Arial"/>
            <family val="2"/>
          </rPr>
          <t xml:space="preserve">r01aqsfi </t>
        </r>
        <r>
          <rPr>
            <sz val="10"/>
            <rFont val="Noto Sans CJK SC"/>
            <family val="2"/>
          </rPr>
          <t xml:space="preserve">的薪水路線沿用先前驗證過的 </t>
        </r>
        <r>
          <rPr>
            <sz val="10"/>
            <rFont val="Arial"/>
            <family val="2"/>
          </rPr>
          <t xml:space="preserve">575.24 </t>
        </r>
        <r>
          <rPr>
            <sz val="10"/>
            <rFont val="Noto Sans CJK SC"/>
            <family val="2"/>
          </rPr>
          <t xml:space="preserve">億（捕手起步、轉二刀流、大學、大四旅美）；本輪只重跑了評價分。</t>
        </r>
      </text>
    </comment>
    <comment ref="Q6" authorId="0">
      <text>
        <r>
          <rPr>
            <sz val="10"/>
            <rFont val="Arial"/>
            <family val="2"/>
          </rPr>
          <t xml:space="preserve">r01aqsfi </t>
        </r>
        <r>
          <rPr>
            <sz val="10"/>
            <rFont val="Noto Sans CJK SC"/>
            <family val="2"/>
          </rPr>
          <t xml:space="preserve">先前已累積數千場搜尋；本輪另以捕手／二刀流重跑評價分約 </t>
        </r>
        <r>
          <rPr>
            <sz val="10"/>
            <rFont val="Arial"/>
            <family val="2"/>
          </rPr>
          <t xml:space="preserve">6,100 </t>
        </r>
        <r>
          <rPr>
            <sz val="10"/>
            <rFont val="Noto Sans CJK SC"/>
            <family val="2"/>
          </rPr>
          <t xml:space="preserve">場。</t>
        </r>
      </text>
    </comment>
  </commentList>
</comments>
</file>

<file path=xl/sharedStrings.xml><?xml version="1.0" encoding="utf-8"?>
<sst xmlns="http://schemas.openxmlformats.org/spreadsheetml/2006/main" count="176" uniqueCount="83">
  <si>
    <r>
      <rPr>
        <b val="true"/>
        <sz val="14"/>
        <color rgb="FF1F5A3D"/>
        <rFont val="Arial"/>
        <family val="0"/>
        <charset val="1"/>
      </rPr>
      <t xml:space="preserve">YaKyoLife </t>
    </r>
    <r>
      <rPr>
        <b val="true"/>
        <sz val="14"/>
        <color rgb="FF1F5A3D"/>
        <rFont val="Noto Sans CJK SC"/>
        <family val="2"/>
      </rPr>
      <t xml:space="preserve">熱門種子總表：加入「專精」後的最高值</t>
    </r>
  </si>
  <si>
    <t xml:space="preserve">未專精＝原本的全面檢查；強制專精＝規定拿「大巧不工」（專精力量）後整條重新搜尋。整體最高與排名為公式。黃底＝該欄第一名。</t>
  </si>
  <si>
    <t xml:space="preserve">生涯薪（億）</t>
  </si>
  <si>
    <t xml:space="preserve">評價分</t>
  </si>
  <si>
    <t xml:space="preserve">種子</t>
  </si>
  <si>
    <t xml:space="preserve">類型</t>
  </si>
  <si>
    <t xml:space="preserve">未專精</t>
  </si>
  <si>
    <t xml:space="preserve">強制專精</t>
  </si>
  <si>
    <t xml:space="preserve">差</t>
  </si>
  <si>
    <t xml:space="preserve">整體最高</t>
  </si>
  <si>
    <t xml:space="preserve">排名</t>
  </si>
  <si>
    <t xml:space="preserve">r01aqsfi</t>
  </si>
  <si>
    <t xml:space="preserve">巨砲型智慧捕手</t>
  </si>
  <si>
    <t xml:space="preserve">64fcx34u</t>
  </si>
  <si>
    <t xml:space="preserve">偏打・二刀流</t>
  </si>
  <si>
    <t xml:space="preserve">vi04mbex</t>
  </si>
  <si>
    <t xml:space="preserve">超級工具人・內野</t>
  </si>
  <si>
    <t xml:space="preserve">mi2eru42</t>
  </si>
  <si>
    <t xml:space="preserve">火球終結者／後援・投手</t>
  </si>
  <si>
    <t xml:space="preserve">i00c0wii</t>
  </si>
  <si>
    <t xml:space="preserve">火球王牌先發・投手</t>
  </si>
  <si>
    <t xml:space="preserve">i6nmhbwm</t>
  </si>
  <si>
    <t xml:space="preserve">偏投・二刀流</t>
  </si>
  <si>
    <t xml:space="preserve">mi36rla6</t>
  </si>
  <si>
    <r>
      <rPr>
        <sz val="11"/>
        <color rgb="FF000000"/>
        <rFont val="Noto Sans CJK SC"/>
        <family val="2"/>
      </rPr>
      <t xml:space="preserve">選球 </t>
    </r>
    <r>
      <rPr>
        <sz val="11"/>
        <color rgb="FF000000"/>
        <rFont val="Arial"/>
        <family val="0"/>
        <charset val="1"/>
      </rPr>
      <t xml:space="preserve">80 </t>
    </r>
    <r>
      <rPr>
        <sz val="11"/>
        <color rgb="FF000000"/>
        <rFont val="Noto Sans CJK SC"/>
        <family val="2"/>
      </rPr>
      <t xml:space="preserve">上壘型・內野</t>
    </r>
  </si>
  <si>
    <t xml:space="preserve">6zgijnnk</t>
  </si>
  <si>
    <t xml:space="preserve">完全均衡・二刀流</t>
  </si>
  <si>
    <t xml:space="preserve">vi1iz4zk</t>
  </si>
  <si>
    <t xml:space="preserve">力量攻守型野手・內野</t>
  </si>
  <si>
    <t xml:space="preserve">vi2r0gyd</t>
  </si>
  <si>
    <t xml:space="preserve">高速上壘型野手・內野</t>
  </si>
  <si>
    <t xml:space="preserve">4i32xbmp</t>
  </si>
  <si>
    <t xml:space="preserve">攻守型捕手</t>
  </si>
  <si>
    <t xml:space="preserve">r005whp2</t>
  </si>
  <si>
    <t xml:space="preserve">攻守中外野・外野</t>
  </si>
  <si>
    <t xml:space="preserve">di08nn5h</t>
  </si>
  <si>
    <r>
      <rPr>
        <sz val="11"/>
        <color rgb="FF000000"/>
        <rFont val="Arial"/>
        <family val="0"/>
        <charset val="1"/>
      </rPr>
      <t xml:space="preserve">Contact 80 </t>
    </r>
    <r>
      <rPr>
        <sz val="11"/>
        <color rgb="FF000000"/>
        <rFont val="Noto Sans CJK SC"/>
        <family val="2"/>
      </rPr>
      <t xml:space="preserve">安打型・內野</t>
    </r>
  </si>
  <si>
    <t xml:space="preserve">767bxcd6</t>
  </si>
  <si>
    <t xml:space="preserve">摘要</t>
  </si>
  <si>
    <t xml:space="preserve">整體最高生涯薪（億）</t>
  </si>
  <si>
    <t xml:space="preserve">整體最高評價分</t>
  </si>
  <si>
    <t xml:space="preserve">專精讓最高薪上升的種子數</t>
  </si>
  <si>
    <t xml:space="preserve">專精讓最高評價分上升的種子數</t>
  </si>
  <si>
    <r>
      <rPr>
        <b val="true"/>
        <sz val="14"/>
        <color rgb="FF1F5A3D"/>
        <rFont val="Arial"/>
        <family val="0"/>
        <charset val="1"/>
      </rPr>
      <t xml:space="preserve">YaKyoLife </t>
    </r>
    <r>
      <rPr>
        <b val="true"/>
        <sz val="14"/>
        <color rgb="FF1F5A3D"/>
        <rFont val="Noto Sans CJK SC"/>
        <family val="2"/>
      </rPr>
      <t xml:space="preserve">熱門種子全面檢查：最高生涯薪 </t>
    </r>
    <r>
      <rPr>
        <b val="true"/>
        <sz val="14"/>
        <color rgb="FF1F5A3D"/>
        <rFont val="Arial"/>
        <family val="0"/>
        <charset val="1"/>
      </rPr>
      <t xml:space="preserve">vs </t>
    </r>
    <r>
      <rPr>
        <b val="true"/>
        <sz val="14"/>
        <color rgb="FF1F5A3D"/>
        <rFont val="Noto Sans CJK SC"/>
        <family val="2"/>
      </rPr>
      <t xml:space="preserve">最高評價分</t>
    </r>
  </si>
  <si>
    <r>
      <rPr>
        <sz val="10"/>
        <color rgb="FF5B6B63"/>
        <rFont val="Noto Sans CJK SC"/>
        <family val="2"/>
      </rPr>
      <t xml:space="preserve">遊戲版本 </t>
    </r>
    <r>
      <rPr>
        <sz val="10"/>
        <color rgb="FF5B6B63"/>
        <rFont val="Arial"/>
        <family val="0"/>
        <charset val="1"/>
      </rPr>
      <t xml:space="preserve">v2.0.12</t>
    </r>
    <r>
      <rPr>
        <sz val="10"/>
        <color rgb="FF5B6B63"/>
        <rFont val="Noto Sans CJK SC"/>
        <family val="2"/>
      </rPr>
      <t xml:space="preserve">，</t>
    </r>
    <r>
      <rPr>
        <sz val="10"/>
        <color rgb="FF5B6B63"/>
        <rFont val="Arial"/>
        <family val="0"/>
        <charset val="1"/>
      </rPr>
      <t xml:space="preserve">2026-10-15 </t>
    </r>
    <r>
      <rPr>
        <sz val="10"/>
        <color rgb="FF5B6B63"/>
        <rFont val="Noto Sans CJK SC"/>
        <family val="2"/>
      </rPr>
      <t xml:space="preserve">全面檢查結果：每個種子 </t>
    </r>
    <r>
      <rPr>
        <sz val="10"/>
        <color rgb="FF5B6B63"/>
        <rFont val="Arial"/>
        <family val="0"/>
        <charset val="1"/>
      </rPr>
      <t xml:space="preserve">5 </t>
    </r>
    <r>
      <rPr>
        <sz val="10"/>
        <color rgb="FF5B6B63"/>
        <rFont val="Noto Sans CJK SC"/>
        <family val="2"/>
      </rPr>
      <t xml:space="preserve">個起始守位都試過，再對最好的守位深挖並逐步替換到不再進步。「最高薪」與「最高評價分」是不同的兩場生涯。黃底＝該欄第一名。</t>
    </r>
  </si>
  <si>
    <t xml:space="preserve">生涯薪最大化</t>
  </si>
  <si>
    <t xml:space="preserve">評價分最大化</t>
  </si>
  <si>
    <t xml:space="preserve">起始守位</t>
  </si>
  <si>
    <t xml:space="preserve">最高生涯薪（億）</t>
  </si>
  <si>
    <t xml:space="preserve">上一輪（億）</t>
  </si>
  <si>
    <t xml:space="preserve">提升（億）</t>
  </si>
  <si>
    <t xml:space="preserve">該場評價分</t>
  </si>
  <si>
    <t xml:space="preserve">該場全壘打</t>
  </si>
  <si>
    <t xml:space="preserve">最高評價分</t>
  </si>
  <si>
    <t xml:space="preserve">上一輪</t>
  </si>
  <si>
    <t xml:space="preserve">提升</t>
  </si>
  <si>
    <t xml:space="preserve">該場生涯薪（億）</t>
  </si>
  <si>
    <t xml:space="preserve">本輪搜尋場數</t>
  </si>
  <si>
    <t xml:space="preserve">捕手</t>
  </si>
  <si>
    <t xml:space="preserve">（先前搜尋）</t>
  </si>
  <si>
    <t xml:space="preserve">二刀流</t>
  </si>
  <si>
    <t xml:space="preserve">內野</t>
  </si>
  <si>
    <t xml:space="preserve">外野</t>
  </si>
  <si>
    <t xml:space="preserve">投手</t>
  </si>
  <si>
    <t xml:space="preserve">第二高生涯薪（億）</t>
  </si>
  <si>
    <t xml:space="preserve">第一名領先（億）</t>
  </si>
  <si>
    <t xml:space="preserve">第二高評價分</t>
  </si>
  <si>
    <t xml:space="preserve">第一名領先（分）</t>
  </si>
  <si>
    <t xml:space="preserve">本輪薪資平均提升（億）</t>
  </si>
  <si>
    <t xml:space="preserve">本輪評價分平均提升</t>
  </si>
  <si>
    <t xml:space="preserve">每個起始守位的最好成績</t>
  </si>
  <si>
    <r>
      <rPr>
        <sz val="10"/>
        <color rgb="FF5B6B63"/>
        <rFont val="Noto Sans CJK SC"/>
        <family val="2"/>
      </rPr>
      <t xml:space="preserve">同一種子換起始守位，結果可以差很多。數字是各守位搜尋到的最好值；黃底＝該種子最好的守位。</t>
    </r>
    <r>
      <rPr>
        <sz val="10"/>
        <color rgb="FF5B6B63"/>
        <rFont val="Arial"/>
        <family val="0"/>
        <charset val="1"/>
      </rPr>
      <t xml:space="preserve">r01aqsfi </t>
    </r>
    <r>
      <rPr>
        <sz val="10"/>
        <color rgb="FF5B6B63"/>
        <rFont val="Noto Sans CJK SC"/>
        <family val="2"/>
      </rPr>
      <t xml:space="preserve">未列入（本輪只重跑捕手／二刀流）。</t>
    </r>
  </si>
  <si>
    <t xml:space="preserve">最好守位</t>
  </si>
  <si>
    <t xml:space="preserve">說明</t>
  </si>
  <si>
    <r>
      <rPr>
        <sz val="11"/>
        <rFont val="Arial"/>
        <family val="0"/>
        <charset val="1"/>
      </rPr>
      <t xml:space="preserve">1. </t>
    </r>
    <r>
      <rPr>
        <sz val="11"/>
        <rFont val="Noto Sans CJK SC"/>
        <family val="2"/>
      </rPr>
      <t xml:space="preserve">資料來源：在瀏覽器裡直接執行 </t>
    </r>
    <r>
      <rPr>
        <sz val="11"/>
        <rFont val="Arial"/>
        <family val="0"/>
        <charset val="1"/>
      </rPr>
      <t xml:space="preserve">YaKyoLife v2.0.12 </t>
    </r>
    <r>
      <rPr>
        <sz val="11"/>
        <rFont val="Noto Sans CJK SC"/>
        <family val="2"/>
      </rPr>
      <t xml:space="preserve">的遊戲程式自動搜尋（同種子＋同選擇＝同人生）。表中每一個最高值都已重新播放驗證過一次，數字完全吻合。</t>
    </r>
  </si>
  <si>
    <r>
      <rPr>
        <sz val="11"/>
        <rFont val="Arial"/>
        <family val="0"/>
        <charset val="1"/>
      </rPr>
      <t xml:space="preserve">2. </t>
    </r>
    <r>
      <rPr>
        <sz val="11"/>
        <rFont val="Noto Sans CJK SC"/>
        <family val="2"/>
      </rPr>
      <t xml:space="preserve">搜尋方法：①</t>
    </r>
    <r>
      <rPr>
        <sz val="11"/>
        <rFont val="Arial"/>
        <family val="0"/>
        <charset val="1"/>
      </rPr>
      <t xml:space="preserve">5 </t>
    </r>
    <r>
      <rPr>
        <sz val="11"/>
        <rFont val="Noto Sans CJK SC"/>
        <family val="2"/>
      </rPr>
      <t xml:space="preserve">個起始守位各跑約 </t>
    </r>
    <r>
      <rPr>
        <sz val="11"/>
        <rFont val="Arial"/>
        <family val="0"/>
        <charset val="1"/>
      </rPr>
      <t xml:space="preserve">200 </t>
    </r>
    <r>
      <rPr>
        <sz val="11"/>
        <rFont val="Noto Sans CJK SC"/>
        <family val="2"/>
      </rPr>
      <t xml:space="preserve">場；②薪水、評價分各自挑最好的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～</t>
    </r>
    <r>
      <rPr>
        <sz val="11"/>
        <rFont val="Arial"/>
        <family val="0"/>
        <charset val="1"/>
      </rPr>
      <t xml:space="preserve">2 </t>
    </r>
    <r>
      <rPr>
        <sz val="11"/>
        <rFont val="Noto Sans CJK SC"/>
        <family val="2"/>
      </rPr>
      <t xml:space="preserve">個守位，各再跑 </t>
    </r>
    <r>
      <rPr>
        <sz val="11"/>
        <rFont val="Arial"/>
        <family val="0"/>
        <charset val="1"/>
      </rPr>
      <t xml:space="preserve">1,200 </t>
    </r>
    <r>
      <rPr>
        <sz val="11"/>
        <rFont val="Noto Sans CJK SC"/>
        <family val="2"/>
      </rPr>
      <t xml:space="preserve">場；③把每個抉擇、每顆訓練骰換成其他選項逐一試，有進步就保留，重複到不再進步（最多 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～</t>
    </r>
    <r>
      <rPr>
        <sz val="11"/>
        <rFont val="Arial"/>
        <family val="0"/>
        <charset val="1"/>
      </rPr>
      <t xml:space="preserve">4 </t>
    </r>
    <r>
      <rPr>
        <sz val="11"/>
        <rFont val="Noto Sans CJK SC"/>
        <family val="2"/>
      </rPr>
      <t xml:space="preserve">輪）。</t>
    </r>
    <r>
      <rPr>
        <sz val="11"/>
        <rFont val="Arial"/>
        <family val="0"/>
        <charset val="1"/>
      </rPr>
      <t xml:space="preserve">vi04mbex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64fcx34u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mi2eru42 </t>
    </r>
    <r>
      <rPr>
        <sz val="11"/>
        <rFont val="Noto Sans CJK SC"/>
        <family val="2"/>
      </rPr>
      <t xml:space="preserve">另外加跑了第二輪深挖。</t>
    </r>
  </si>
  <si>
    <r>
      <rPr>
        <sz val="11"/>
        <rFont val="Arial"/>
        <family val="0"/>
        <charset val="1"/>
      </rPr>
      <t xml:space="preserve">3. </t>
    </r>
    <r>
      <rPr>
        <sz val="11"/>
        <rFont val="Noto Sans CJK SC"/>
        <family val="2"/>
      </rPr>
      <t xml:space="preserve">「上一輪」是前一次只試單一守位、搜尋量較少時的結果；「提升」為公式，等於本輪減上一輪。</t>
    </r>
  </si>
  <si>
    <r>
      <rPr>
        <sz val="11"/>
        <rFont val="Arial"/>
        <family val="0"/>
        <charset val="1"/>
      </rPr>
      <t xml:space="preserve">4. </t>
    </r>
    <r>
      <rPr>
        <sz val="11"/>
        <rFont val="Noto Sans CJK SC"/>
        <family val="2"/>
      </rPr>
      <t xml:space="preserve">「最高薪」與「最高評價分」各自是不同的一場生涯，同一列兩組數字不是同一場。</t>
    </r>
  </si>
  <si>
    <r>
      <rPr>
        <sz val="11"/>
        <rFont val="Arial"/>
        <family val="0"/>
        <charset val="1"/>
      </rPr>
      <t xml:space="preserve">5. </t>
    </r>
    <r>
      <rPr>
        <sz val="11"/>
        <rFont val="Noto Sans CJK SC"/>
        <family val="2"/>
      </rPr>
      <t xml:space="preserve">全壘打欄位為職業生涯合計（中職＋日職＋大聯盟，不含小聯盟）。</t>
    </r>
  </si>
  <si>
    <r>
      <rPr>
        <sz val="11"/>
        <rFont val="Arial"/>
        <family val="0"/>
        <charset val="1"/>
      </rPr>
      <t xml:space="preserve">6. </t>
    </r>
    <r>
      <rPr>
        <sz val="11"/>
        <rFont val="Noto Sans CJK SC"/>
        <family val="2"/>
      </rPr>
      <t xml:space="preserve">起始守位是開局選的守位；很多種子在生涯中會轉成外野或內野，例如 </t>
    </r>
    <r>
      <rPr>
        <sz val="11"/>
        <rFont val="Arial"/>
        <family val="0"/>
        <charset val="1"/>
      </rPr>
      <t xml:space="preserve">mi2eru42 </t>
    </r>
    <r>
      <rPr>
        <sz val="11"/>
        <rFont val="Noto Sans CJK SC"/>
        <family val="2"/>
      </rPr>
      <t xml:space="preserve">的最高評價分是投手起步、最後以外野手身分退休。</t>
    </r>
  </si>
  <si>
    <r>
      <rPr>
        <sz val="11"/>
        <rFont val="Arial"/>
        <family val="0"/>
        <charset val="1"/>
      </rPr>
      <t xml:space="preserve">7. </t>
    </r>
    <r>
      <rPr>
        <sz val="11"/>
        <rFont val="Noto Sans CJK SC"/>
        <family val="2"/>
      </rPr>
      <t xml:space="preserve">「總表」的「強制專精」欄是規定高中後的訓練骰在拿到「大巧不工」前一律點力量（投手起步若沒轉二刀流則不會觸發），再對整條路線重新搜尋的最佳值；每個值都在新分頁重播兩次確認。搜尋量比未專精時少，所以是保守的下限。</t>
    </r>
  </si>
  <si>
    <r>
      <rPr>
        <sz val="11"/>
        <rFont val="Arial"/>
        <family val="0"/>
        <charset val="1"/>
      </rPr>
      <t xml:space="preserve">8. </t>
    </r>
    <r>
      <rPr>
        <sz val="11"/>
        <rFont val="Noto Sans CJK SC"/>
        <family val="2"/>
      </rPr>
      <t xml:space="preserve">總表的「整體最高」與排名都是公式，取兩種搜尋的較大值。</t>
    </r>
  </si>
  <si>
    <r>
      <rPr>
        <sz val="11"/>
        <rFont val="Arial"/>
        <family val="0"/>
        <charset val="1"/>
      </rPr>
      <t xml:space="preserve">9. </t>
    </r>
    <r>
      <rPr>
        <sz val="11"/>
        <rFont val="Noto Sans CJK SC"/>
        <family val="2"/>
      </rPr>
      <t xml:space="preserve">仍是搜尋結果而非數學證明：理論上可能還有更好的組合，但第二輪深挖的提升都很小（薪水 </t>
    </r>
    <r>
      <rPr>
        <sz val="11"/>
        <rFont val="Arial"/>
        <family val="0"/>
        <charset val="1"/>
      </rPr>
      <t xml:space="preserve">+0.1</t>
    </r>
    <r>
      <rPr>
        <sz val="11"/>
        <rFont val="Noto Sans CJK SC"/>
        <family val="2"/>
      </rPr>
      <t xml:space="preserve">～</t>
    </r>
    <r>
      <rPr>
        <sz val="11"/>
        <rFont val="Arial"/>
        <family val="0"/>
        <charset val="1"/>
      </rPr>
      <t xml:space="preserve">+4 </t>
    </r>
    <r>
      <rPr>
        <sz val="11"/>
        <rFont val="Noto Sans CJK SC"/>
        <family val="2"/>
      </rPr>
      <t xml:space="preserve">億、評價分 </t>
    </r>
    <r>
      <rPr>
        <sz val="11"/>
        <rFont val="Arial"/>
        <family val="0"/>
        <charset val="1"/>
      </rPr>
      <t xml:space="preserve">+30</t>
    </r>
    <r>
      <rPr>
        <sz val="11"/>
        <rFont val="Noto Sans CJK SC"/>
        <family val="2"/>
      </rPr>
      <t xml:space="preserve">～</t>
    </r>
    <r>
      <rPr>
        <sz val="11"/>
        <rFont val="Arial"/>
        <family val="0"/>
        <charset val="1"/>
      </rPr>
      <t xml:space="preserve">+40 </t>
    </r>
    <r>
      <rPr>
        <sz val="11"/>
        <rFont val="Noto Sans CJK SC"/>
        <family val="2"/>
      </rPr>
      <t xml:space="preserve">分），代表已接近這套方法能找到的上限。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</si>
</sst>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"/>
    <numFmt numFmtId="166" formatCode="\+0.00;\-0.00;0.00"/>
    <numFmt numFmtId="167" formatCode="General"/>
    <numFmt numFmtId="168" formatCode="#,##0"/>
    <numFmt numFmtId="169" formatCode="\+#,##0;\-#,##0;0"/>
    <numFmt numFmtId="170" formatCode="0"/>
    <numFmt numFmtId="171" formatCode="\+0.00;\-0.00;\-"/>
    <numFmt numFmtId="172" formatCode="\+#,##0;\-#,##0;\-"/>
    <numFmt numFmtId="173" formatCode="0.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5A3D"/>
      <name val="Arial"/>
      <family val="0"/>
      <charset val="1"/>
    </font>
    <font>
      <b val="true"/>
      <sz val="14"/>
      <color rgb="FF1F5A3D"/>
      <name val="Noto Sans CJK SC"/>
      <family val="2"/>
    </font>
    <font>
      <sz val="10"/>
      <color rgb="FF5B6B63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1F5A3D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000000"/>
      <name val="Arial"/>
      <family val="0"/>
      <charset val="1"/>
    </font>
    <font>
      <sz val="11"/>
      <color rgb="FF000000"/>
      <name val="Noto Sans CJK SC"/>
      <family val="2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1F5A3D"/>
      <name val="Noto Sans CJK SC"/>
      <family val="2"/>
    </font>
    <font>
      <sz val="11"/>
      <name val="Noto Sans CJK SC"/>
      <family val="2"/>
    </font>
    <font>
      <sz val="10"/>
      <name val="Arial"/>
      <family val="2"/>
    </font>
    <font>
      <sz val="10"/>
      <name val="Noto Sans CJK SC"/>
      <family val="2"/>
    </font>
    <font>
      <sz val="10"/>
      <color rgb="FF5B6B63"/>
      <name val="Arial"/>
      <family val="0"/>
      <charset val="1"/>
    </font>
    <font>
      <sz val="11"/>
      <color rgb="FF0000FF"/>
      <name val="Noto Sans CJK SC"/>
      <family val="2"/>
    </font>
    <font>
      <b val="true"/>
      <sz val="1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F5A3D"/>
        <bgColor rgb="FF003366"/>
      </patternFill>
    </fill>
    <fill>
      <patternFill patternType="solid">
        <fgColor rgb="FFDCE9E1"/>
        <bgColor rgb="FFC9D3C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D3CD"/>
      </left>
      <right style="thin">
        <color rgb="FFC9D3CD"/>
      </right>
      <top style="thin">
        <color rgb="FFC9D3CD"/>
      </top>
      <bottom style="thin">
        <color rgb="FFC9D3CD"/>
      </bottom>
      <diagonal/>
    </border>
    <border diagonalUp="false" diagonalDown="false">
      <left style="thin">
        <color rgb="FFC9D3CD"/>
      </left>
      <right/>
      <top style="thin">
        <color rgb="FFC9D3CD"/>
      </top>
      <bottom style="thin">
        <color rgb="FFC9D3C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D3CD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9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6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5A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4" min="3" style="0" width="10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6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6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7.15" hidden="false" customHeight="true" outlineLevel="0" collapsed="false">
      <c r="A4" s="3"/>
      <c r="B4" s="3"/>
      <c r="C4" s="4" t="s">
        <v>2</v>
      </c>
      <c r="D4" s="4"/>
      <c r="E4" s="4"/>
      <c r="F4" s="4"/>
      <c r="G4" s="4"/>
      <c r="H4" s="4" t="s">
        <v>3</v>
      </c>
      <c r="I4" s="4"/>
      <c r="J4" s="4"/>
      <c r="K4" s="4"/>
      <c r="L4" s="4"/>
    </row>
    <row r="5" customFormat="false" ht="21.75" hidden="false" customHeight="true" outlineLevel="0" collapsed="false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6</v>
      </c>
      <c r="I5" s="5" t="s">
        <v>7</v>
      </c>
      <c r="J5" s="5" t="s">
        <v>8</v>
      </c>
      <c r="K5" s="5" t="s">
        <v>9</v>
      </c>
      <c r="L5" s="5" t="s">
        <v>10</v>
      </c>
    </row>
    <row r="6" customFormat="false" ht="15" hidden="false" customHeight="false" outlineLevel="0" collapsed="false">
      <c r="A6" s="6" t="s">
        <v>11</v>
      </c>
      <c r="B6" s="7" t="s">
        <v>12</v>
      </c>
      <c r="C6" s="8" t="n">
        <v>575.24</v>
      </c>
      <c r="D6" s="8" t="n">
        <v>545.33</v>
      </c>
      <c r="E6" s="9" t="n">
        <f aca="false">D6-C6</f>
        <v>-29.91</v>
      </c>
      <c r="F6" s="10" t="n">
        <f aca="false">MAX(C6:D6)</f>
        <v>575.24</v>
      </c>
      <c r="G6" s="11" t="n">
        <f aca="false">RANK(F6,$F$6:$F$19)</f>
        <v>3</v>
      </c>
      <c r="H6" s="12" t="n">
        <v>53299</v>
      </c>
      <c r="I6" s="12" t="n">
        <v>50233</v>
      </c>
      <c r="J6" s="13" t="n">
        <f aca="false">I6-H6</f>
        <v>-3066</v>
      </c>
      <c r="K6" s="14" t="n">
        <f aca="false">MAX(H6:I6)</f>
        <v>53299</v>
      </c>
      <c r="L6" s="11" t="n">
        <f aca="false">RANK(K6,$K$6:$K$19)</f>
        <v>3</v>
      </c>
    </row>
    <row r="7" customFormat="false" ht="15" hidden="false" customHeight="false" outlineLevel="0" collapsed="false">
      <c r="A7" s="6" t="s">
        <v>13</v>
      </c>
      <c r="B7" s="7" t="s">
        <v>14</v>
      </c>
      <c r="C7" s="8" t="n">
        <v>552.96</v>
      </c>
      <c r="D7" s="8" t="n">
        <v>549.81</v>
      </c>
      <c r="E7" s="9" t="n">
        <f aca="false">D7-C7</f>
        <v>-3.15000000000009</v>
      </c>
      <c r="F7" s="10" t="n">
        <f aca="false">MAX(C7:D7)</f>
        <v>552.96</v>
      </c>
      <c r="G7" s="11" t="n">
        <f aca="false">RANK(F7,$F$6:$F$19)</f>
        <v>4</v>
      </c>
      <c r="H7" s="12" t="n">
        <v>51836</v>
      </c>
      <c r="I7" s="12" t="n">
        <v>58303</v>
      </c>
      <c r="J7" s="13" t="n">
        <f aca="false">I7-H7</f>
        <v>6467</v>
      </c>
      <c r="K7" s="14" t="n">
        <f aca="false">MAX(H7:I7)</f>
        <v>58303</v>
      </c>
      <c r="L7" s="11" t="n">
        <f aca="false">RANK(K7,$K$6:$K$19)</f>
        <v>2</v>
      </c>
    </row>
    <row r="8" customFormat="false" ht="15" hidden="false" customHeight="false" outlineLevel="0" collapsed="false">
      <c r="A8" s="6" t="s">
        <v>15</v>
      </c>
      <c r="B8" s="7" t="s">
        <v>16</v>
      </c>
      <c r="C8" s="8" t="n">
        <v>560.85</v>
      </c>
      <c r="D8" s="8" t="n">
        <v>649.82</v>
      </c>
      <c r="E8" s="9" t="n">
        <f aca="false">D8-C8</f>
        <v>88.97</v>
      </c>
      <c r="F8" s="10" t="n">
        <f aca="false">MAX(C8:D8)</f>
        <v>649.82</v>
      </c>
      <c r="G8" s="11" t="n">
        <f aca="false">RANK(F8,$F$6:$F$19)</f>
        <v>1</v>
      </c>
      <c r="H8" s="12" t="n">
        <v>43880</v>
      </c>
      <c r="I8" s="12" t="n">
        <v>43236</v>
      </c>
      <c r="J8" s="13" t="n">
        <f aca="false">I8-H8</f>
        <v>-644</v>
      </c>
      <c r="K8" s="14" t="n">
        <f aca="false">MAX(H8:I8)</f>
        <v>43880</v>
      </c>
      <c r="L8" s="11" t="n">
        <f aca="false">RANK(K8,$K$6:$K$19)</f>
        <v>11</v>
      </c>
    </row>
    <row r="9" customFormat="false" ht="15" hidden="false" customHeight="false" outlineLevel="0" collapsed="false">
      <c r="A9" s="6" t="s">
        <v>17</v>
      </c>
      <c r="B9" s="7" t="s">
        <v>18</v>
      </c>
      <c r="C9" s="8" t="n">
        <v>333.4</v>
      </c>
      <c r="D9" s="8" t="n">
        <v>415.34</v>
      </c>
      <c r="E9" s="9" t="n">
        <f aca="false">D9-C9</f>
        <v>81.94</v>
      </c>
      <c r="F9" s="10" t="n">
        <f aca="false">MAX(C9:D9)</f>
        <v>415.34</v>
      </c>
      <c r="G9" s="11" t="n">
        <f aca="false">RANK(F9,$F$6:$F$19)</f>
        <v>11</v>
      </c>
      <c r="H9" s="12" t="n">
        <v>57704</v>
      </c>
      <c r="I9" s="12" t="n">
        <v>63588</v>
      </c>
      <c r="J9" s="13" t="n">
        <f aca="false">I9-H9</f>
        <v>5884</v>
      </c>
      <c r="K9" s="14" t="n">
        <f aca="false">MAX(H9:I9)</f>
        <v>63588</v>
      </c>
      <c r="L9" s="11" t="n">
        <f aca="false">RANK(K9,$K$6:$K$19)</f>
        <v>1</v>
      </c>
    </row>
    <row r="10" customFormat="false" ht="15" hidden="false" customHeight="false" outlineLevel="0" collapsed="false">
      <c r="A10" s="6" t="s">
        <v>19</v>
      </c>
      <c r="B10" s="7" t="s">
        <v>20</v>
      </c>
      <c r="C10" s="8" t="n">
        <v>302.89</v>
      </c>
      <c r="D10" s="8" t="n">
        <v>309.47</v>
      </c>
      <c r="E10" s="9" t="n">
        <f aca="false">D10-C10</f>
        <v>6.58000000000004</v>
      </c>
      <c r="F10" s="10" t="n">
        <f aca="false">MAX(C10:D10)</f>
        <v>309.47</v>
      </c>
      <c r="G10" s="11" t="n">
        <f aca="false">RANK(F10,$F$6:$F$19)</f>
        <v>13</v>
      </c>
      <c r="H10" s="12" t="n">
        <v>44842</v>
      </c>
      <c r="I10" s="12" t="n">
        <v>48260</v>
      </c>
      <c r="J10" s="13" t="n">
        <f aca="false">I10-H10</f>
        <v>3418</v>
      </c>
      <c r="K10" s="14" t="n">
        <f aca="false">MAX(H10:I10)</f>
        <v>48260</v>
      </c>
      <c r="L10" s="11" t="n">
        <f aca="false">RANK(K10,$K$6:$K$19)</f>
        <v>5</v>
      </c>
    </row>
    <row r="11" customFormat="false" ht="15" hidden="false" customHeight="false" outlineLevel="0" collapsed="false">
      <c r="A11" s="6" t="s">
        <v>21</v>
      </c>
      <c r="B11" s="7" t="s">
        <v>22</v>
      </c>
      <c r="C11" s="8" t="n">
        <v>427.25</v>
      </c>
      <c r="D11" s="8" t="n">
        <v>441.4</v>
      </c>
      <c r="E11" s="9" t="n">
        <f aca="false">D11-C11</f>
        <v>14.15</v>
      </c>
      <c r="F11" s="10" t="n">
        <f aca="false">MAX(C11:D11)</f>
        <v>441.4</v>
      </c>
      <c r="G11" s="11" t="n">
        <f aca="false">RANK(F11,$F$6:$F$19)</f>
        <v>9</v>
      </c>
      <c r="H11" s="12" t="n">
        <v>44654</v>
      </c>
      <c r="I11" s="12" t="n">
        <v>32040</v>
      </c>
      <c r="J11" s="13" t="n">
        <f aca="false">I11-H11</f>
        <v>-12614</v>
      </c>
      <c r="K11" s="14" t="n">
        <f aca="false">MAX(H11:I11)</f>
        <v>44654</v>
      </c>
      <c r="L11" s="11" t="n">
        <f aca="false">RANK(K11,$K$6:$K$19)</f>
        <v>10</v>
      </c>
    </row>
    <row r="12" customFormat="false" ht="17.15" hidden="false" customHeight="false" outlineLevel="0" collapsed="false">
      <c r="A12" s="6" t="s">
        <v>23</v>
      </c>
      <c r="B12" s="7" t="s">
        <v>24</v>
      </c>
      <c r="C12" s="8" t="n">
        <v>509.26</v>
      </c>
      <c r="D12" s="8" t="n">
        <v>579.32</v>
      </c>
      <c r="E12" s="9" t="n">
        <f aca="false">D12-C12</f>
        <v>70.0600000000001</v>
      </c>
      <c r="F12" s="10" t="n">
        <f aca="false">MAX(C12:D12)</f>
        <v>579.32</v>
      </c>
      <c r="G12" s="11" t="n">
        <f aca="false">RANK(F12,$F$6:$F$19)</f>
        <v>2</v>
      </c>
      <c r="H12" s="12" t="n">
        <v>41589</v>
      </c>
      <c r="I12" s="12" t="n">
        <v>46056</v>
      </c>
      <c r="J12" s="13" t="n">
        <f aca="false">I12-H12</f>
        <v>4467</v>
      </c>
      <c r="K12" s="14" t="n">
        <f aca="false">MAX(H12:I12)</f>
        <v>46056</v>
      </c>
      <c r="L12" s="11" t="n">
        <f aca="false">RANK(K12,$K$6:$K$19)</f>
        <v>7</v>
      </c>
    </row>
    <row r="13" customFormat="false" ht="15" hidden="false" customHeight="false" outlineLevel="0" collapsed="false">
      <c r="A13" s="6" t="s">
        <v>25</v>
      </c>
      <c r="B13" s="7" t="s">
        <v>26</v>
      </c>
      <c r="C13" s="8" t="n">
        <v>450.21</v>
      </c>
      <c r="D13" s="8" t="n">
        <v>305.05</v>
      </c>
      <c r="E13" s="9" t="n">
        <f aca="false">D13-C13</f>
        <v>-145.16</v>
      </c>
      <c r="F13" s="10" t="n">
        <f aca="false">MAX(C13:D13)</f>
        <v>450.21</v>
      </c>
      <c r="G13" s="11" t="n">
        <f aca="false">RANK(F13,$F$6:$F$19)</f>
        <v>8</v>
      </c>
      <c r="H13" s="12" t="n">
        <v>40846</v>
      </c>
      <c r="I13" s="12" t="n">
        <v>42850</v>
      </c>
      <c r="J13" s="13" t="n">
        <f aca="false">I13-H13</f>
        <v>2004</v>
      </c>
      <c r="K13" s="14" t="n">
        <f aca="false">MAX(H13:I13)</f>
        <v>42850</v>
      </c>
      <c r="L13" s="11" t="n">
        <f aca="false">RANK(K13,$K$6:$K$19)</f>
        <v>12</v>
      </c>
    </row>
    <row r="14" customFormat="false" ht="15" hidden="false" customHeight="false" outlineLevel="0" collapsed="false">
      <c r="A14" s="6" t="s">
        <v>27</v>
      </c>
      <c r="B14" s="7" t="s">
        <v>28</v>
      </c>
      <c r="C14" s="8" t="n">
        <v>487.51</v>
      </c>
      <c r="D14" s="8" t="n">
        <v>487.48</v>
      </c>
      <c r="E14" s="9" t="n">
        <f aca="false">D14-C14</f>
        <v>-0.0299999999999727</v>
      </c>
      <c r="F14" s="10" t="n">
        <f aca="false">MAX(C14:D14)</f>
        <v>487.51</v>
      </c>
      <c r="G14" s="11" t="n">
        <f aca="false">RANK(F14,$F$6:$F$19)</f>
        <v>7</v>
      </c>
      <c r="H14" s="12" t="n">
        <v>48251</v>
      </c>
      <c r="I14" s="12" t="n">
        <v>51858</v>
      </c>
      <c r="J14" s="13" t="n">
        <f aca="false">I14-H14</f>
        <v>3607</v>
      </c>
      <c r="K14" s="14" t="n">
        <f aca="false">MAX(H14:I14)</f>
        <v>51858</v>
      </c>
      <c r="L14" s="11" t="n">
        <f aca="false">RANK(K14,$K$6:$K$19)</f>
        <v>4</v>
      </c>
    </row>
    <row r="15" customFormat="false" ht="15" hidden="false" customHeight="false" outlineLevel="0" collapsed="false">
      <c r="A15" s="6" t="s">
        <v>29</v>
      </c>
      <c r="B15" s="7" t="s">
        <v>30</v>
      </c>
      <c r="C15" s="8" t="n">
        <v>351.6</v>
      </c>
      <c r="D15" s="8" t="n">
        <v>417.32</v>
      </c>
      <c r="E15" s="9" t="n">
        <f aca="false">D15-C15</f>
        <v>65.72</v>
      </c>
      <c r="F15" s="10" t="n">
        <f aca="false">MAX(C15:D15)</f>
        <v>417.32</v>
      </c>
      <c r="G15" s="11" t="n">
        <f aca="false">RANK(F15,$F$6:$F$19)</f>
        <v>10</v>
      </c>
      <c r="H15" s="12" t="n">
        <v>33550</v>
      </c>
      <c r="I15" s="12" t="n">
        <v>45782</v>
      </c>
      <c r="J15" s="13" t="n">
        <f aca="false">I15-H15</f>
        <v>12232</v>
      </c>
      <c r="K15" s="14" t="n">
        <f aca="false">MAX(H15:I15)</f>
        <v>45782</v>
      </c>
      <c r="L15" s="11" t="n">
        <f aca="false">RANK(K15,$K$6:$K$19)</f>
        <v>8</v>
      </c>
    </row>
    <row r="16" customFormat="false" ht="15" hidden="false" customHeight="false" outlineLevel="0" collapsed="false">
      <c r="A16" s="6" t="s">
        <v>31</v>
      </c>
      <c r="B16" s="7" t="s">
        <v>32</v>
      </c>
      <c r="C16" s="8" t="n">
        <v>445.8</v>
      </c>
      <c r="D16" s="8" t="n">
        <v>526.33</v>
      </c>
      <c r="E16" s="9" t="n">
        <f aca="false">D16-C16</f>
        <v>80.53</v>
      </c>
      <c r="F16" s="10" t="n">
        <f aca="false">MAX(C16:D16)</f>
        <v>526.33</v>
      </c>
      <c r="G16" s="11" t="n">
        <f aca="false">RANK(F16,$F$6:$F$19)</f>
        <v>5</v>
      </c>
      <c r="H16" s="12" t="n">
        <v>28388</v>
      </c>
      <c r="I16" s="12" t="n">
        <v>29902</v>
      </c>
      <c r="J16" s="13" t="n">
        <f aca="false">I16-H16</f>
        <v>1514</v>
      </c>
      <c r="K16" s="14" t="n">
        <f aca="false">MAX(H16:I16)</f>
        <v>29902</v>
      </c>
      <c r="L16" s="11" t="n">
        <f aca="false">RANK(K16,$K$6:$K$19)</f>
        <v>13</v>
      </c>
    </row>
    <row r="17" customFormat="false" ht="15" hidden="false" customHeight="false" outlineLevel="0" collapsed="false">
      <c r="A17" s="6" t="s">
        <v>33</v>
      </c>
      <c r="B17" s="7" t="s">
        <v>34</v>
      </c>
      <c r="C17" s="8" t="n">
        <v>404.62</v>
      </c>
      <c r="D17" s="8" t="n">
        <v>379.34</v>
      </c>
      <c r="E17" s="9" t="n">
        <f aca="false">D17-C17</f>
        <v>-25.28</v>
      </c>
      <c r="F17" s="10" t="n">
        <f aca="false">MAX(C17:D17)</f>
        <v>404.62</v>
      </c>
      <c r="G17" s="11" t="n">
        <f aca="false">RANK(F17,$F$6:$F$19)</f>
        <v>12</v>
      </c>
      <c r="H17" s="12" t="n">
        <v>43717</v>
      </c>
      <c r="I17" s="12" t="n">
        <v>46778</v>
      </c>
      <c r="J17" s="13" t="n">
        <f aca="false">I17-H17</f>
        <v>3061</v>
      </c>
      <c r="K17" s="14" t="n">
        <f aca="false">MAX(H17:I17)</f>
        <v>46778</v>
      </c>
      <c r="L17" s="11" t="n">
        <f aca="false">RANK(K17,$K$6:$K$19)</f>
        <v>6</v>
      </c>
    </row>
    <row r="18" customFormat="false" ht="17.15" hidden="false" customHeight="false" outlineLevel="0" collapsed="false">
      <c r="A18" s="6" t="s">
        <v>35</v>
      </c>
      <c r="B18" s="15" t="s">
        <v>36</v>
      </c>
      <c r="C18" s="8" t="n">
        <v>446.24</v>
      </c>
      <c r="D18" s="8" t="n">
        <v>519.38</v>
      </c>
      <c r="E18" s="9" t="n">
        <f aca="false">D18-C18</f>
        <v>73.14</v>
      </c>
      <c r="F18" s="10" t="n">
        <f aca="false">MAX(C18:D18)</f>
        <v>519.38</v>
      </c>
      <c r="G18" s="11" t="n">
        <f aca="false">RANK(F18,$F$6:$F$19)</f>
        <v>6</v>
      </c>
      <c r="H18" s="12" t="n">
        <v>33194</v>
      </c>
      <c r="I18" s="12" t="n">
        <v>45595</v>
      </c>
      <c r="J18" s="13" t="n">
        <f aca="false">I18-H18</f>
        <v>12401</v>
      </c>
      <c r="K18" s="14" t="n">
        <f aca="false">MAX(H18:I18)</f>
        <v>45595</v>
      </c>
      <c r="L18" s="11" t="n">
        <f aca="false">RANK(K18,$K$6:$K$19)</f>
        <v>9</v>
      </c>
    </row>
    <row r="19" customFormat="false" ht="15" hidden="false" customHeight="false" outlineLevel="0" collapsed="false">
      <c r="A19" s="6" t="s">
        <v>37</v>
      </c>
      <c r="B19" s="7" t="s">
        <v>22</v>
      </c>
      <c r="C19" s="8" t="n">
        <v>281.56</v>
      </c>
      <c r="D19" s="8" t="n">
        <v>110.33</v>
      </c>
      <c r="E19" s="9" t="n">
        <f aca="false">D19-C19</f>
        <v>-171.23</v>
      </c>
      <c r="F19" s="10" t="n">
        <f aca="false">MAX(C19:D19)</f>
        <v>281.56</v>
      </c>
      <c r="G19" s="11" t="n">
        <f aca="false">RANK(F19,$F$6:$F$19)</f>
        <v>14</v>
      </c>
      <c r="H19" s="12" t="n">
        <v>24384</v>
      </c>
      <c r="I19" s="12" t="n">
        <v>23524</v>
      </c>
      <c r="J19" s="13" t="n">
        <f aca="false">I19-H19</f>
        <v>-860</v>
      </c>
      <c r="K19" s="14" t="n">
        <f aca="false">MAX(H19:I19)</f>
        <v>24384</v>
      </c>
      <c r="L19" s="11" t="n">
        <f aca="false">RANK(K19,$K$6:$K$19)</f>
        <v>14</v>
      </c>
    </row>
    <row r="21" customFormat="false" ht="15" hidden="false" customHeight="false" outlineLevel="0" collapsed="false">
      <c r="A21" s="16" t="s">
        <v>38</v>
      </c>
    </row>
    <row r="22" customFormat="false" ht="15" hidden="false" customHeight="false" outlineLevel="0" collapsed="false">
      <c r="A22" s="17" t="s">
        <v>39</v>
      </c>
      <c r="B22" s="17"/>
      <c r="C22" s="17"/>
      <c r="D22" s="18" t="n">
        <f aca="false">MAX(F6:F19)</f>
        <v>649.82</v>
      </c>
      <c r="E22" s="19" t="str">
        <f aca="false">INDEX(A6:A19,MATCH(MAX(F6:F19),F6:F19,0))</f>
        <v>vi04mbex</v>
      </c>
    </row>
    <row r="23" customFormat="false" ht="15" hidden="false" customHeight="false" outlineLevel="0" collapsed="false">
      <c r="A23" s="17" t="s">
        <v>40</v>
      </c>
      <c r="B23" s="17"/>
      <c r="C23" s="17"/>
      <c r="D23" s="20" t="n">
        <f aca="false">MAX(K6:K19)</f>
        <v>63588</v>
      </c>
      <c r="E23" s="19" t="str">
        <f aca="false">INDEX(A6:A19,MATCH(MAX(K6:K19),K6:K19,0))</f>
        <v>mi2eru42</v>
      </c>
    </row>
    <row r="24" customFormat="false" ht="15" hidden="false" customHeight="false" outlineLevel="0" collapsed="false">
      <c r="A24" s="17" t="s">
        <v>41</v>
      </c>
      <c r="B24" s="17"/>
      <c r="C24" s="17"/>
      <c r="D24" s="21" t="n">
        <f aca="false">COUNTIF(E6:E19,"&gt;0")</f>
        <v>8</v>
      </c>
    </row>
    <row r="25" customFormat="false" ht="15" hidden="false" customHeight="false" outlineLevel="0" collapsed="false">
      <c r="A25" s="17" t="s">
        <v>42</v>
      </c>
      <c r="B25" s="17"/>
      <c r="C25" s="17"/>
      <c r="D25" s="21" t="n">
        <f aca="false">COUNTIF(J6:J19,"&gt;0")</f>
        <v>10</v>
      </c>
    </row>
  </sheetData>
  <mergeCells count="6">
    <mergeCell ref="C4:G4"/>
    <mergeCell ref="H4:L4"/>
    <mergeCell ref="A22:C22"/>
    <mergeCell ref="A23:C23"/>
    <mergeCell ref="A24:C24"/>
    <mergeCell ref="A25:C25"/>
  </mergeCells>
  <conditionalFormatting sqref="F6:F19">
    <cfRule type="expression" priority="2" aboveAverage="0" equalAverage="0" bottom="0" percent="0" rank="0" text="" dxfId="0">
      <formula>F6=MAX($F$6:$F$19)</formula>
    </cfRule>
  </conditionalFormatting>
  <conditionalFormatting sqref="K6:K19">
    <cfRule type="expression" priority="3" aboveAverage="0" equalAverage="0" bottom="0" percent="0" rank="0" text="" dxfId="0">
      <formula>K6=MAX($K$6:$K$19)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6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3" min="12" style="0" width="9"/>
    <col collapsed="false" customWidth="true" hidden="false" outlineLevel="0" max="14" min="14" style="0" width="6"/>
    <col collapsed="false" customWidth="true" hidden="false" outlineLevel="0" max="15" min="15" style="0" width="12"/>
    <col collapsed="false" customWidth="true" hidden="false" outlineLevel="0" max="16" min="16" style="0" width="9"/>
    <col collapsed="false" customWidth="true" hidden="false" outlineLevel="0" max="17" min="17" style="0" width="11"/>
  </cols>
  <sheetData>
    <row r="1" customFormat="false" ht="21.6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44</v>
      </c>
    </row>
    <row r="4" customFormat="false" ht="17.15" hidden="false" customHeight="true" outlineLevel="0" collapsed="false">
      <c r="A4" s="22"/>
      <c r="B4" s="22"/>
      <c r="C4" s="4" t="s">
        <v>45</v>
      </c>
      <c r="D4" s="4"/>
      <c r="E4" s="4"/>
      <c r="F4" s="4"/>
      <c r="G4" s="4"/>
      <c r="H4" s="4"/>
      <c r="I4" s="4"/>
      <c r="J4" s="4" t="s">
        <v>46</v>
      </c>
      <c r="K4" s="4"/>
      <c r="L4" s="4"/>
      <c r="M4" s="4"/>
      <c r="N4" s="4"/>
      <c r="O4" s="4"/>
      <c r="P4" s="4"/>
      <c r="Q4" s="3"/>
    </row>
    <row r="5" customFormat="false" ht="33.75" hidden="false" customHeight="true" outlineLevel="0" collapsed="false">
      <c r="A5" s="5" t="s">
        <v>4</v>
      </c>
      <c r="B5" s="5" t="s">
        <v>5</v>
      </c>
      <c r="C5" s="5" t="s">
        <v>47</v>
      </c>
      <c r="D5" s="5" t="s">
        <v>48</v>
      </c>
      <c r="E5" s="5" t="s">
        <v>49</v>
      </c>
      <c r="F5" s="5" t="s">
        <v>50</v>
      </c>
      <c r="G5" s="5" t="s">
        <v>10</v>
      </c>
      <c r="H5" s="5" t="s">
        <v>51</v>
      </c>
      <c r="I5" s="5" t="s">
        <v>52</v>
      </c>
      <c r="J5" s="5" t="s">
        <v>47</v>
      </c>
      <c r="K5" s="5" t="s">
        <v>53</v>
      </c>
      <c r="L5" s="5" t="s">
        <v>54</v>
      </c>
      <c r="M5" s="5" t="s">
        <v>55</v>
      </c>
      <c r="N5" s="5" t="s">
        <v>10</v>
      </c>
      <c r="O5" s="5" t="s">
        <v>56</v>
      </c>
      <c r="P5" s="5" t="s">
        <v>52</v>
      </c>
      <c r="Q5" s="5" t="s">
        <v>57</v>
      </c>
    </row>
    <row r="6" customFormat="false" ht="15" hidden="false" customHeight="false" outlineLevel="0" collapsed="false">
      <c r="A6" s="23" t="s">
        <v>11</v>
      </c>
      <c r="B6" s="24" t="s">
        <v>12</v>
      </c>
      <c r="C6" s="25" t="s">
        <v>58</v>
      </c>
      <c r="D6" s="26" t="n">
        <v>575.24</v>
      </c>
      <c r="E6" s="26" t="n">
        <v>575.24</v>
      </c>
      <c r="F6" s="27" t="n">
        <f aca="false">D6-E6</f>
        <v>0</v>
      </c>
      <c r="G6" s="28" t="n">
        <f aca="false">RANK(D6,$D$6:$D$19)</f>
        <v>1</v>
      </c>
      <c r="H6" s="29" t="n">
        <v>26068</v>
      </c>
      <c r="I6" s="29" t="n">
        <v>763</v>
      </c>
      <c r="J6" s="25" t="s">
        <v>58</v>
      </c>
      <c r="K6" s="29" t="n">
        <v>53299</v>
      </c>
      <c r="L6" s="29" t="n">
        <v>53257</v>
      </c>
      <c r="M6" s="30" t="n">
        <f aca="false">K6-L6</f>
        <v>42</v>
      </c>
      <c r="N6" s="28" t="n">
        <f aca="false">RANK(K6,$K$6:$K$19)</f>
        <v>2</v>
      </c>
      <c r="O6" s="26" t="n">
        <v>91.42</v>
      </c>
      <c r="P6" s="29" t="n">
        <v>1082</v>
      </c>
      <c r="Q6" s="31" t="s">
        <v>59</v>
      </c>
    </row>
    <row r="7" customFormat="false" ht="15" hidden="false" customHeight="false" outlineLevel="0" collapsed="false">
      <c r="A7" s="23" t="s">
        <v>13</v>
      </c>
      <c r="B7" s="24" t="s">
        <v>14</v>
      </c>
      <c r="C7" s="25" t="s">
        <v>60</v>
      </c>
      <c r="D7" s="26" t="n">
        <v>552.96</v>
      </c>
      <c r="E7" s="26" t="n">
        <v>522.8</v>
      </c>
      <c r="F7" s="27" t="n">
        <f aca="false">D7-E7</f>
        <v>30.1600000000001</v>
      </c>
      <c r="G7" s="28" t="n">
        <f aca="false">RANK(D7,$D$6:$D$19)</f>
        <v>3</v>
      </c>
      <c r="H7" s="29" t="n">
        <v>20079</v>
      </c>
      <c r="I7" s="29" t="n">
        <v>793</v>
      </c>
      <c r="J7" s="25" t="s">
        <v>60</v>
      </c>
      <c r="K7" s="29" t="n">
        <v>51836</v>
      </c>
      <c r="L7" s="29" t="n">
        <v>28842</v>
      </c>
      <c r="M7" s="30" t="n">
        <f aca="false">K7-L7</f>
        <v>22994</v>
      </c>
      <c r="N7" s="28" t="n">
        <f aca="false">RANK(K7,$K$6:$K$19)</f>
        <v>3</v>
      </c>
      <c r="O7" s="26" t="n">
        <v>254.88</v>
      </c>
      <c r="P7" s="29" t="n">
        <v>872</v>
      </c>
      <c r="Q7" s="29" t="n">
        <v>16385</v>
      </c>
    </row>
    <row r="8" customFormat="false" ht="15" hidden="false" customHeight="false" outlineLevel="0" collapsed="false">
      <c r="A8" s="23" t="s">
        <v>15</v>
      </c>
      <c r="B8" s="24" t="s">
        <v>16</v>
      </c>
      <c r="C8" s="25" t="s">
        <v>61</v>
      </c>
      <c r="D8" s="26" t="n">
        <v>560.85</v>
      </c>
      <c r="E8" s="26" t="n">
        <v>509.6</v>
      </c>
      <c r="F8" s="27" t="n">
        <f aca="false">D8-E8</f>
        <v>51.25</v>
      </c>
      <c r="G8" s="28" t="n">
        <f aca="false">RANK(D8,$D$6:$D$19)</f>
        <v>2</v>
      </c>
      <c r="H8" s="29" t="n">
        <v>16564</v>
      </c>
      <c r="I8" s="29" t="n">
        <v>470</v>
      </c>
      <c r="J8" s="25" t="s">
        <v>61</v>
      </c>
      <c r="K8" s="29" t="n">
        <v>43880</v>
      </c>
      <c r="L8" s="29" t="n">
        <v>40120</v>
      </c>
      <c r="M8" s="30" t="n">
        <f aca="false">K8-L8</f>
        <v>3760</v>
      </c>
      <c r="N8" s="28" t="n">
        <f aca="false">RANK(K8,$K$6:$K$19)</f>
        <v>7</v>
      </c>
      <c r="O8" s="26" t="n">
        <v>253.5</v>
      </c>
      <c r="P8" s="29" t="n">
        <v>649</v>
      </c>
      <c r="Q8" s="29" t="n">
        <v>17944</v>
      </c>
    </row>
    <row r="9" customFormat="false" ht="15" hidden="false" customHeight="false" outlineLevel="0" collapsed="false">
      <c r="A9" s="23" t="s">
        <v>17</v>
      </c>
      <c r="B9" s="24" t="s">
        <v>18</v>
      </c>
      <c r="C9" s="25" t="s">
        <v>62</v>
      </c>
      <c r="D9" s="26" t="n">
        <v>333.4</v>
      </c>
      <c r="E9" s="26" t="n">
        <v>272</v>
      </c>
      <c r="F9" s="27" t="n">
        <f aca="false">D9-E9</f>
        <v>61.4</v>
      </c>
      <c r="G9" s="28" t="n">
        <f aca="false">RANK(D9,$D$6:$D$19)</f>
        <v>12</v>
      </c>
      <c r="H9" s="29" t="n">
        <v>30575</v>
      </c>
      <c r="I9" s="29" t="n">
        <v>980</v>
      </c>
      <c r="J9" s="25" t="s">
        <v>63</v>
      </c>
      <c r="K9" s="29" t="n">
        <v>57704</v>
      </c>
      <c r="L9" s="29" t="n">
        <v>46417</v>
      </c>
      <c r="M9" s="30" t="n">
        <f aca="false">K9-L9</f>
        <v>11287</v>
      </c>
      <c r="N9" s="28" t="n">
        <f aca="false">RANK(K9,$K$6:$K$19)</f>
        <v>1</v>
      </c>
      <c r="O9" s="26" t="n">
        <v>320.66</v>
      </c>
      <c r="P9" s="29" t="n">
        <v>1285</v>
      </c>
      <c r="Q9" s="29" t="n">
        <v>16164</v>
      </c>
    </row>
    <row r="10" customFormat="false" ht="15" hidden="false" customHeight="false" outlineLevel="0" collapsed="false">
      <c r="A10" s="23" t="s">
        <v>19</v>
      </c>
      <c r="B10" s="24" t="s">
        <v>20</v>
      </c>
      <c r="C10" s="25" t="s">
        <v>63</v>
      </c>
      <c r="D10" s="26" t="n">
        <v>302.89</v>
      </c>
      <c r="E10" s="26" t="n">
        <v>300.6</v>
      </c>
      <c r="F10" s="27" t="n">
        <f aca="false">D10-E10</f>
        <v>2.28999999999996</v>
      </c>
      <c r="G10" s="28" t="n">
        <f aca="false">RANK(D10,$D$6:$D$19)</f>
        <v>13</v>
      </c>
      <c r="H10" s="29" t="n">
        <v>9242</v>
      </c>
      <c r="I10" s="29" t="n">
        <v>268</v>
      </c>
      <c r="J10" s="25" t="s">
        <v>63</v>
      </c>
      <c r="K10" s="29" t="n">
        <v>44842</v>
      </c>
      <c r="L10" s="29" t="n">
        <v>43394</v>
      </c>
      <c r="M10" s="30" t="n">
        <f aca="false">K10-L10</f>
        <v>1448</v>
      </c>
      <c r="N10" s="28" t="n">
        <f aca="false">RANK(K10,$K$6:$K$19)</f>
        <v>5</v>
      </c>
      <c r="O10" s="26" t="n">
        <v>179.6</v>
      </c>
      <c r="P10" s="29" t="n">
        <v>643</v>
      </c>
      <c r="Q10" s="29" t="n">
        <v>13326</v>
      </c>
    </row>
    <row r="11" customFormat="false" ht="15" hidden="false" customHeight="false" outlineLevel="0" collapsed="false">
      <c r="A11" s="23" t="s">
        <v>21</v>
      </c>
      <c r="B11" s="24" t="s">
        <v>22</v>
      </c>
      <c r="C11" s="25" t="s">
        <v>61</v>
      </c>
      <c r="D11" s="26" t="n">
        <v>427.25</v>
      </c>
      <c r="E11" s="26" t="n">
        <v>252.6</v>
      </c>
      <c r="F11" s="27" t="n">
        <f aca="false">D11-E11</f>
        <v>174.65</v>
      </c>
      <c r="G11" s="28" t="n">
        <f aca="false">RANK(D11,$D$6:$D$19)</f>
        <v>9</v>
      </c>
      <c r="H11" s="29" t="n">
        <v>12457</v>
      </c>
      <c r="I11" s="29" t="n">
        <v>588</v>
      </c>
      <c r="J11" s="25" t="s">
        <v>60</v>
      </c>
      <c r="K11" s="29" t="n">
        <v>44654</v>
      </c>
      <c r="L11" s="29" t="n">
        <v>42599</v>
      </c>
      <c r="M11" s="30" t="n">
        <f aca="false">K11-L11</f>
        <v>2055</v>
      </c>
      <c r="N11" s="28" t="n">
        <f aca="false">RANK(K11,$K$6:$K$19)</f>
        <v>6</v>
      </c>
      <c r="O11" s="26" t="n">
        <v>247.3</v>
      </c>
      <c r="P11" s="29" t="n">
        <v>795</v>
      </c>
      <c r="Q11" s="29" t="n">
        <v>15172</v>
      </c>
    </row>
    <row r="12" customFormat="false" ht="17.15" hidden="false" customHeight="false" outlineLevel="0" collapsed="false">
      <c r="A12" s="23" t="s">
        <v>23</v>
      </c>
      <c r="B12" s="24" t="s">
        <v>24</v>
      </c>
      <c r="C12" s="25" t="s">
        <v>62</v>
      </c>
      <c r="D12" s="26" t="n">
        <v>509.26</v>
      </c>
      <c r="E12" s="26" t="n">
        <v>371.4</v>
      </c>
      <c r="F12" s="27" t="n">
        <f aca="false">D12-E12</f>
        <v>137.86</v>
      </c>
      <c r="G12" s="28" t="n">
        <f aca="false">RANK(D12,$D$6:$D$19)</f>
        <v>4</v>
      </c>
      <c r="H12" s="29" t="n">
        <v>8755</v>
      </c>
      <c r="I12" s="29" t="n">
        <v>446</v>
      </c>
      <c r="J12" s="25" t="s">
        <v>61</v>
      </c>
      <c r="K12" s="29" t="n">
        <v>41589</v>
      </c>
      <c r="L12" s="29" t="n">
        <v>40461</v>
      </c>
      <c r="M12" s="30" t="n">
        <f aca="false">K12-L12</f>
        <v>1128</v>
      </c>
      <c r="N12" s="28" t="n">
        <f aca="false">RANK(K12,$K$6:$K$19)</f>
        <v>9</v>
      </c>
      <c r="O12" s="26" t="n">
        <v>249.03</v>
      </c>
      <c r="P12" s="29" t="n">
        <v>690</v>
      </c>
      <c r="Q12" s="29" t="n">
        <v>22020</v>
      </c>
    </row>
    <row r="13" customFormat="false" ht="15" hidden="false" customHeight="false" outlineLevel="0" collapsed="false">
      <c r="A13" s="23" t="s">
        <v>25</v>
      </c>
      <c r="B13" s="24" t="s">
        <v>26</v>
      </c>
      <c r="C13" s="25" t="s">
        <v>62</v>
      </c>
      <c r="D13" s="26" t="n">
        <v>450.21</v>
      </c>
      <c r="E13" s="26" t="n">
        <v>266.1</v>
      </c>
      <c r="F13" s="27" t="n">
        <f aca="false">D13-E13</f>
        <v>184.11</v>
      </c>
      <c r="G13" s="28" t="n">
        <f aca="false">RANK(D13,$D$6:$D$19)</f>
        <v>6</v>
      </c>
      <c r="H13" s="29" t="n">
        <v>21111</v>
      </c>
      <c r="I13" s="29" t="n">
        <v>566</v>
      </c>
      <c r="J13" s="25" t="s">
        <v>60</v>
      </c>
      <c r="K13" s="29" t="n">
        <v>40846</v>
      </c>
      <c r="L13" s="29" t="n">
        <v>39200</v>
      </c>
      <c r="M13" s="30" t="n">
        <f aca="false">K13-L13</f>
        <v>1646</v>
      </c>
      <c r="N13" s="28" t="n">
        <f aca="false">RANK(K13,$K$6:$K$19)</f>
        <v>10</v>
      </c>
      <c r="O13" s="26" t="n">
        <v>189.11</v>
      </c>
      <c r="P13" s="29" t="n">
        <v>850</v>
      </c>
      <c r="Q13" s="29" t="n">
        <v>18902</v>
      </c>
    </row>
    <row r="14" customFormat="false" ht="15" hidden="false" customHeight="false" outlineLevel="0" collapsed="false">
      <c r="A14" s="23" t="s">
        <v>27</v>
      </c>
      <c r="B14" s="24" t="s">
        <v>28</v>
      </c>
      <c r="C14" s="25" t="s">
        <v>63</v>
      </c>
      <c r="D14" s="26" t="n">
        <v>487.51</v>
      </c>
      <c r="E14" s="26" t="n">
        <v>286.6</v>
      </c>
      <c r="F14" s="27" t="n">
        <f aca="false">D14-E14</f>
        <v>200.91</v>
      </c>
      <c r="G14" s="28" t="n">
        <f aca="false">RANK(D14,$D$6:$D$19)</f>
        <v>5</v>
      </c>
      <c r="H14" s="29" t="n">
        <v>18752</v>
      </c>
      <c r="I14" s="29" t="n">
        <v>833</v>
      </c>
      <c r="J14" s="25" t="s">
        <v>61</v>
      </c>
      <c r="K14" s="29" t="n">
        <v>48251</v>
      </c>
      <c r="L14" s="29" t="n">
        <v>36100</v>
      </c>
      <c r="M14" s="30" t="n">
        <f aca="false">K14-L14</f>
        <v>12151</v>
      </c>
      <c r="N14" s="28" t="n">
        <f aca="false">RANK(K14,$K$6:$K$19)</f>
        <v>4</v>
      </c>
      <c r="O14" s="26" t="n">
        <v>215.75</v>
      </c>
      <c r="P14" s="29" t="n">
        <v>1114</v>
      </c>
      <c r="Q14" s="29" t="n">
        <v>22644</v>
      </c>
    </row>
    <row r="15" customFormat="false" ht="15" hidden="false" customHeight="false" outlineLevel="0" collapsed="false">
      <c r="A15" s="23" t="s">
        <v>29</v>
      </c>
      <c r="B15" s="24" t="s">
        <v>30</v>
      </c>
      <c r="C15" s="25" t="s">
        <v>61</v>
      </c>
      <c r="D15" s="26" t="n">
        <v>351.6</v>
      </c>
      <c r="E15" s="26" t="n">
        <v>278</v>
      </c>
      <c r="F15" s="27" t="n">
        <f aca="false">D15-E15</f>
        <v>73.6</v>
      </c>
      <c r="G15" s="28" t="n">
        <f aca="false">RANK(D15,$D$6:$D$19)</f>
        <v>11</v>
      </c>
      <c r="H15" s="29" t="n">
        <v>8229</v>
      </c>
      <c r="I15" s="29" t="n">
        <v>181</v>
      </c>
      <c r="J15" s="25" t="s">
        <v>61</v>
      </c>
      <c r="K15" s="29" t="n">
        <v>33550</v>
      </c>
      <c r="L15" s="29" t="n">
        <v>32870</v>
      </c>
      <c r="M15" s="30" t="n">
        <f aca="false">K15-L15</f>
        <v>680</v>
      </c>
      <c r="N15" s="28" t="n">
        <f aca="false">RANK(K15,$K$6:$K$19)</f>
        <v>11</v>
      </c>
      <c r="O15" s="26" t="n">
        <v>274.58</v>
      </c>
      <c r="P15" s="29" t="n">
        <v>681</v>
      </c>
      <c r="Q15" s="29" t="n">
        <v>9000</v>
      </c>
    </row>
    <row r="16" customFormat="false" ht="15" hidden="false" customHeight="false" outlineLevel="0" collapsed="false">
      <c r="A16" s="23" t="s">
        <v>31</v>
      </c>
      <c r="B16" s="24" t="s">
        <v>32</v>
      </c>
      <c r="C16" s="25" t="s">
        <v>58</v>
      </c>
      <c r="D16" s="26" t="n">
        <v>445.8</v>
      </c>
      <c r="E16" s="26" t="n">
        <v>389.6</v>
      </c>
      <c r="F16" s="27" t="n">
        <f aca="false">D16-E16</f>
        <v>56.2</v>
      </c>
      <c r="G16" s="28" t="n">
        <f aca="false">RANK(D16,$D$6:$D$19)</f>
        <v>8</v>
      </c>
      <c r="H16" s="29" t="n">
        <v>13077</v>
      </c>
      <c r="I16" s="29" t="n">
        <v>360</v>
      </c>
      <c r="J16" s="25" t="s">
        <v>58</v>
      </c>
      <c r="K16" s="29" t="n">
        <v>28388</v>
      </c>
      <c r="L16" s="29" t="n">
        <v>26337</v>
      </c>
      <c r="M16" s="30" t="n">
        <f aca="false">K16-L16</f>
        <v>2051</v>
      </c>
      <c r="N16" s="28" t="n">
        <f aca="false">RANK(K16,$K$6:$K$19)</f>
        <v>13</v>
      </c>
      <c r="O16" s="26" t="n">
        <v>127.25</v>
      </c>
      <c r="P16" s="29" t="n">
        <v>569</v>
      </c>
      <c r="Q16" s="29" t="n">
        <v>14786</v>
      </c>
    </row>
    <row r="17" customFormat="false" ht="15" hidden="false" customHeight="false" outlineLevel="0" collapsed="false">
      <c r="A17" s="23" t="s">
        <v>33</v>
      </c>
      <c r="B17" s="24" t="s">
        <v>34</v>
      </c>
      <c r="C17" s="25" t="s">
        <v>62</v>
      </c>
      <c r="D17" s="26" t="n">
        <v>404.62</v>
      </c>
      <c r="E17" s="26" t="n">
        <v>321.4</v>
      </c>
      <c r="F17" s="27" t="n">
        <f aca="false">D17-E17</f>
        <v>83.22</v>
      </c>
      <c r="G17" s="28" t="n">
        <f aca="false">RANK(D17,$D$6:$D$19)</f>
        <v>10</v>
      </c>
      <c r="H17" s="29" t="n">
        <v>15901</v>
      </c>
      <c r="I17" s="29" t="n">
        <v>741</v>
      </c>
      <c r="J17" s="25" t="s">
        <v>62</v>
      </c>
      <c r="K17" s="29" t="n">
        <v>43717</v>
      </c>
      <c r="L17" s="29" t="n">
        <v>22967</v>
      </c>
      <c r="M17" s="30" t="n">
        <f aca="false">K17-L17</f>
        <v>20750</v>
      </c>
      <c r="N17" s="28" t="n">
        <f aca="false">RANK(K17,$K$6:$K$19)</f>
        <v>8</v>
      </c>
      <c r="O17" s="26" t="n">
        <v>73.18</v>
      </c>
      <c r="P17" s="29" t="n">
        <v>881</v>
      </c>
      <c r="Q17" s="29" t="n">
        <v>7141</v>
      </c>
    </row>
    <row r="18" customFormat="false" ht="17.15" hidden="false" customHeight="false" outlineLevel="0" collapsed="false">
      <c r="A18" s="23" t="s">
        <v>35</v>
      </c>
      <c r="B18" s="32" t="s">
        <v>36</v>
      </c>
      <c r="C18" s="25" t="s">
        <v>63</v>
      </c>
      <c r="D18" s="26" t="n">
        <v>446.24</v>
      </c>
      <c r="E18" s="26" t="n">
        <v>308.5</v>
      </c>
      <c r="F18" s="27" t="n">
        <f aca="false">D18-E18</f>
        <v>137.74</v>
      </c>
      <c r="G18" s="28" t="n">
        <f aca="false">RANK(D18,$D$6:$D$19)</f>
        <v>7</v>
      </c>
      <c r="H18" s="29" t="n">
        <v>13160</v>
      </c>
      <c r="I18" s="29" t="n">
        <v>575</v>
      </c>
      <c r="J18" s="25" t="s">
        <v>61</v>
      </c>
      <c r="K18" s="29" t="n">
        <v>33194</v>
      </c>
      <c r="L18" s="29" t="n">
        <v>12671</v>
      </c>
      <c r="M18" s="30" t="n">
        <f aca="false">K18-L18</f>
        <v>20523</v>
      </c>
      <c r="N18" s="28" t="n">
        <f aca="false">RANK(K18,$K$6:$K$19)</f>
        <v>12</v>
      </c>
      <c r="O18" s="26" t="n">
        <v>274.4</v>
      </c>
      <c r="P18" s="29" t="n">
        <v>512</v>
      </c>
      <c r="Q18" s="29" t="n">
        <v>9738</v>
      </c>
    </row>
    <row r="19" customFormat="false" ht="15" hidden="false" customHeight="false" outlineLevel="0" collapsed="false">
      <c r="A19" s="23" t="s">
        <v>37</v>
      </c>
      <c r="B19" s="24" t="s">
        <v>22</v>
      </c>
      <c r="C19" s="25" t="s">
        <v>61</v>
      </c>
      <c r="D19" s="26" t="n">
        <v>281.56</v>
      </c>
      <c r="E19" s="26" t="n">
        <v>69.9</v>
      </c>
      <c r="F19" s="27" t="n">
        <f aca="false">D19-E19</f>
        <v>211.66</v>
      </c>
      <c r="G19" s="28" t="n">
        <f aca="false">RANK(D19,$D$6:$D$19)</f>
        <v>14</v>
      </c>
      <c r="H19" s="29" t="n">
        <v>9517</v>
      </c>
      <c r="I19" s="29" t="n">
        <v>224</v>
      </c>
      <c r="J19" s="25" t="s">
        <v>58</v>
      </c>
      <c r="K19" s="29" t="n">
        <v>24384</v>
      </c>
      <c r="L19" s="29" t="n">
        <v>14718</v>
      </c>
      <c r="M19" s="30" t="n">
        <f aca="false">K19-L19</f>
        <v>9666</v>
      </c>
      <c r="N19" s="28" t="n">
        <f aca="false">RANK(K19,$K$6:$K$19)</f>
        <v>14</v>
      </c>
      <c r="O19" s="26" t="n">
        <v>31.3</v>
      </c>
      <c r="P19" s="29" t="n">
        <v>597</v>
      </c>
      <c r="Q19" s="29" t="n">
        <v>18592</v>
      </c>
    </row>
    <row r="21" customFormat="false" ht="15" hidden="false" customHeight="false" outlineLevel="0" collapsed="false">
      <c r="A21" s="16" t="s">
        <v>38</v>
      </c>
    </row>
    <row r="22" customFormat="false" ht="15" hidden="false" customHeight="false" outlineLevel="0" collapsed="false">
      <c r="A22" s="17" t="s">
        <v>48</v>
      </c>
      <c r="B22" s="17"/>
      <c r="C22" s="17"/>
      <c r="D22" s="18" t="n">
        <f aca="false">MAX(D6:D19)</f>
        <v>575.24</v>
      </c>
      <c r="E22" s="19" t="str">
        <f aca="false">INDEX(A6:A19,MATCH(MAX(D6:D19),D6:D19,0))</f>
        <v>r01aqsfi</v>
      </c>
    </row>
    <row r="23" customFormat="false" ht="15" hidden="false" customHeight="false" outlineLevel="0" collapsed="false">
      <c r="A23" s="17" t="s">
        <v>64</v>
      </c>
      <c r="B23" s="17"/>
      <c r="C23" s="17"/>
      <c r="D23" s="18" t="n">
        <f aca="false">LARGE(D6:D19,2)</f>
        <v>560.85</v>
      </c>
      <c r="E23" s="19" t="str">
        <f aca="false">INDEX(A6:A19,MATCH(LARGE(D6:D19,2),D6:D19,0))</f>
        <v>vi04mbex</v>
      </c>
    </row>
    <row r="24" customFormat="false" ht="15" hidden="false" customHeight="false" outlineLevel="0" collapsed="false">
      <c r="A24" s="17" t="s">
        <v>65</v>
      </c>
      <c r="B24" s="17"/>
      <c r="C24" s="17"/>
      <c r="D24" s="18" t="n">
        <f aca="false">LARGE(D6:D19,1)-LARGE(D6:D19,2)</f>
        <v>14.39</v>
      </c>
    </row>
    <row r="25" customFormat="false" ht="15" hidden="false" customHeight="false" outlineLevel="0" collapsed="false">
      <c r="A25" s="17" t="s">
        <v>53</v>
      </c>
      <c r="B25" s="17"/>
      <c r="C25" s="17"/>
      <c r="D25" s="20" t="n">
        <f aca="false">MAX(K6:K19)</f>
        <v>57704</v>
      </c>
      <c r="E25" s="19" t="str">
        <f aca="false">INDEX(A6:A19,MATCH(MAX(K6:K19),K6:K19,0))</f>
        <v>mi2eru42</v>
      </c>
    </row>
    <row r="26" customFormat="false" ht="15" hidden="false" customHeight="false" outlineLevel="0" collapsed="false">
      <c r="A26" s="17" t="s">
        <v>66</v>
      </c>
      <c r="B26" s="17"/>
      <c r="C26" s="17"/>
      <c r="D26" s="20" t="n">
        <f aca="false">LARGE(K6:K19,2)</f>
        <v>53299</v>
      </c>
      <c r="E26" s="19" t="str">
        <f aca="false">INDEX(A6:A19,MATCH(LARGE(K6:K19,2),K6:K19,0))</f>
        <v>r01aqsfi</v>
      </c>
    </row>
    <row r="27" customFormat="false" ht="15" hidden="false" customHeight="false" outlineLevel="0" collapsed="false">
      <c r="A27" s="17" t="s">
        <v>67</v>
      </c>
      <c r="B27" s="17"/>
      <c r="C27" s="17"/>
      <c r="D27" s="20" t="n">
        <f aca="false">LARGE(K6:K19,1)-LARGE(K6:K19,2)</f>
        <v>4405</v>
      </c>
    </row>
    <row r="28" customFormat="false" ht="15" hidden="false" customHeight="false" outlineLevel="0" collapsed="false">
      <c r="A28" s="17" t="s">
        <v>68</v>
      </c>
      <c r="B28" s="17"/>
      <c r="C28" s="17"/>
      <c r="D28" s="33" t="n">
        <f aca="false">AVERAGE(F6:F19)</f>
        <v>100.360714285714</v>
      </c>
    </row>
    <row r="29" customFormat="false" ht="15" hidden="false" customHeight="false" outlineLevel="0" collapsed="false">
      <c r="A29" s="17" t="s">
        <v>69</v>
      </c>
      <c r="B29" s="17"/>
      <c r="C29" s="17"/>
      <c r="D29" s="20" t="n">
        <f aca="false">AVERAGE(M6:M19)</f>
        <v>7870.07142857143</v>
      </c>
    </row>
  </sheetData>
  <mergeCells count="11">
    <mergeCell ref="A4:B4"/>
    <mergeCell ref="C4:I4"/>
    <mergeCell ref="J4:P4"/>
    <mergeCell ref="A22:C22"/>
    <mergeCell ref="A23:C23"/>
    <mergeCell ref="A24:C24"/>
    <mergeCell ref="A25:C25"/>
    <mergeCell ref="A26:C26"/>
    <mergeCell ref="A27:C27"/>
    <mergeCell ref="A28:C28"/>
    <mergeCell ref="A29:C29"/>
  </mergeCells>
  <conditionalFormatting sqref="D6:D19">
    <cfRule type="expression" priority="2" aboveAverage="0" equalAverage="0" bottom="0" percent="0" rank="0" text="" dxfId="0">
      <formula>D6=MAX($D$6:$D$19)</formula>
    </cfRule>
  </conditionalFormatting>
  <conditionalFormatting sqref="K6:K19">
    <cfRule type="expression" priority="3" aboveAverage="0" equalAverage="0" bottom="0" percent="0" rank="0" text="" dxfId="0">
      <formula>K6=MAX($K$6:$K$19)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3" min="2" style="0" width="9.51"/>
  </cols>
  <sheetData>
    <row r="1" customFormat="false" ht="17.35" hidden="false" customHeight="false" outlineLevel="0" collapsed="false">
      <c r="A1" s="34" t="s">
        <v>70</v>
      </c>
    </row>
    <row r="2" customFormat="false" ht="15" hidden="false" customHeight="false" outlineLevel="0" collapsed="false">
      <c r="A2" s="2" t="s">
        <v>71</v>
      </c>
    </row>
    <row r="4" customFormat="false" ht="17.15" hidden="false" customHeight="true" outlineLevel="0" collapsed="false">
      <c r="A4" s="3"/>
      <c r="B4" s="4" t="s">
        <v>48</v>
      </c>
      <c r="C4" s="4"/>
      <c r="D4" s="4"/>
      <c r="E4" s="4"/>
      <c r="F4" s="4"/>
      <c r="G4" s="4"/>
      <c r="H4" s="4" t="s">
        <v>53</v>
      </c>
      <c r="I4" s="4"/>
      <c r="J4" s="4"/>
      <c r="K4" s="4"/>
      <c r="L4" s="4"/>
      <c r="M4" s="4"/>
    </row>
    <row r="5" customFormat="false" ht="21.75" hidden="false" customHeight="true" outlineLevel="0" collapsed="false">
      <c r="A5" s="5" t="s">
        <v>4</v>
      </c>
      <c r="B5" s="5" t="s">
        <v>63</v>
      </c>
      <c r="C5" s="5" t="s">
        <v>58</v>
      </c>
      <c r="D5" s="5" t="s">
        <v>61</v>
      </c>
      <c r="E5" s="5" t="s">
        <v>62</v>
      </c>
      <c r="F5" s="5" t="s">
        <v>60</v>
      </c>
      <c r="G5" s="5" t="s">
        <v>72</v>
      </c>
      <c r="H5" s="5" t="s">
        <v>63</v>
      </c>
      <c r="I5" s="5" t="s">
        <v>58</v>
      </c>
      <c r="J5" s="5" t="s">
        <v>61</v>
      </c>
      <c r="K5" s="5" t="s">
        <v>62</v>
      </c>
      <c r="L5" s="5" t="s">
        <v>60</v>
      </c>
      <c r="M5" s="5" t="s">
        <v>72</v>
      </c>
    </row>
    <row r="6" customFormat="false" ht="15" hidden="false" customHeight="false" outlineLevel="0" collapsed="false">
      <c r="A6" s="35" t="s">
        <v>13</v>
      </c>
      <c r="B6" s="36" t="n">
        <v>130.59</v>
      </c>
      <c r="C6" s="36" t="n">
        <v>22.02</v>
      </c>
      <c r="D6" s="36" t="n">
        <v>11.91</v>
      </c>
      <c r="E6" s="36" t="n">
        <v>6.42</v>
      </c>
      <c r="F6" s="36" t="n">
        <v>552.96</v>
      </c>
      <c r="G6" s="37" t="str">
        <f aca="false">INDEX($B$5:$F$5,MATCH(MAX(B6:F6),B6:F6,0))</f>
        <v>二刀流</v>
      </c>
      <c r="H6" s="38" t="n">
        <v>16053</v>
      </c>
      <c r="I6" s="38" t="n">
        <v>1729</v>
      </c>
      <c r="J6" s="38" t="n">
        <v>2435</v>
      </c>
      <c r="K6" s="38" t="n">
        <v>3496</v>
      </c>
      <c r="L6" s="38" t="n">
        <v>51836</v>
      </c>
      <c r="M6" s="37" t="str">
        <f aca="false">INDEX($H$5:$L$5,MATCH(MAX(H6:L6),H6:L6,0))</f>
        <v>二刀流</v>
      </c>
    </row>
    <row r="7" customFormat="false" ht="15" hidden="false" customHeight="false" outlineLevel="0" collapsed="false">
      <c r="A7" s="35" t="s">
        <v>15</v>
      </c>
      <c r="B7" s="36" t="n">
        <v>22.65</v>
      </c>
      <c r="C7" s="36" t="n">
        <v>85.98</v>
      </c>
      <c r="D7" s="36" t="n">
        <v>560.85</v>
      </c>
      <c r="E7" s="36" t="n">
        <v>248.9</v>
      </c>
      <c r="F7" s="36" t="n">
        <v>534.06</v>
      </c>
      <c r="G7" s="37" t="str">
        <f aca="false">INDEX($B$5:$F$5,MATCH(MAX(B7:F7),B7:F7,0))</f>
        <v>內野</v>
      </c>
      <c r="H7" s="38" t="n">
        <v>7373</v>
      </c>
      <c r="I7" s="38" t="n">
        <v>6674</v>
      </c>
      <c r="J7" s="38" t="n">
        <v>43880</v>
      </c>
      <c r="K7" s="38" t="n">
        <v>11436</v>
      </c>
      <c r="L7" s="38" t="n">
        <v>27996</v>
      </c>
      <c r="M7" s="37" t="str">
        <f aca="false">INDEX($H$5:$L$5,MATCH(MAX(H7:L7),H7:L7,0))</f>
        <v>內野</v>
      </c>
    </row>
    <row r="8" customFormat="false" ht="15" hidden="false" customHeight="false" outlineLevel="0" collapsed="false">
      <c r="A8" s="35" t="s">
        <v>17</v>
      </c>
      <c r="B8" s="36" t="n">
        <v>330.61</v>
      </c>
      <c r="C8" s="36" t="n">
        <v>133.88</v>
      </c>
      <c r="D8" s="36" t="n">
        <v>214.89</v>
      </c>
      <c r="E8" s="36" t="n">
        <v>333.4</v>
      </c>
      <c r="F8" s="36" t="n">
        <v>97.73</v>
      </c>
      <c r="G8" s="37" t="str">
        <f aca="false">INDEX($B$5:$F$5,MATCH(MAX(B8:F8),B8:F8,0))</f>
        <v>外野</v>
      </c>
      <c r="H8" s="38" t="n">
        <v>57704</v>
      </c>
      <c r="I8" s="38" t="n">
        <v>10037</v>
      </c>
      <c r="J8" s="38" t="n">
        <v>24477</v>
      </c>
      <c r="K8" s="38" t="n">
        <v>48073</v>
      </c>
      <c r="L8" s="38" t="n">
        <v>13004</v>
      </c>
      <c r="M8" s="37" t="str">
        <f aca="false">INDEX($H$5:$L$5,MATCH(MAX(H8:L8),H8:L8,0))</f>
        <v>投手</v>
      </c>
    </row>
    <row r="9" customFormat="false" ht="15" hidden="false" customHeight="false" outlineLevel="0" collapsed="false">
      <c r="A9" s="35" t="s">
        <v>19</v>
      </c>
      <c r="B9" s="36" t="n">
        <v>302.89</v>
      </c>
      <c r="C9" s="36" t="n">
        <v>215.18</v>
      </c>
      <c r="D9" s="36" t="n">
        <v>96.09</v>
      </c>
      <c r="E9" s="36" t="n">
        <v>87.82</v>
      </c>
      <c r="F9" s="36" t="n">
        <v>27.03</v>
      </c>
      <c r="G9" s="37" t="str">
        <f aca="false">INDEX($B$5:$F$5,MATCH(MAX(B9:F9),B9:F9,0))</f>
        <v>投手</v>
      </c>
      <c r="H9" s="38" t="n">
        <v>44842</v>
      </c>
      <c r="I9" s="38" t="n">
        <v>5032</v>
      </c>
      <c r="J9" s="38" t="n">
        <v>2085</v>
      </c>
      <c r="K9" s="38" t="n">
        <v>2325</v>
      </c>
      <c r="L9" s="38" t="n">
        <v>8705</v>
      </c>
      <c r="M9" s="37" t="str">
        <f aca="false">INDEX($H$5:$L$5,MATCH(MAX(H9:L9),H9:L9,0))</f>
        <v>投手</v>
      </c>
    </row>
    <row r="10" customFormat="false" ht="15" hidden="false" customHeight="false" outlineLevel="0" collapsed="false">
      <c r="A10" s="35" t="s">
        <v>21</v>
      </c>
      <c r="B10" s="36" t="n">
        <v>8.88</v>
      </c>
      <c r="C10" s="36" t="n">
        <v>129</v>
      </c>
      <c r="D10" s="36" t="n">
        <v>427.25</v>
      </c>
      <c r="E10" s="36" t="n">
        <v>134.85</v>
      </c>
      <c r="F10" s="36" t="n">
        <v>261.24</v>
      </c>
      <c r="G10" s="37" t="str">
        <f aca="false">INDEX($B$5:$F$5,MATCH(MAX(B10:F10),B10:F10,0))</f>
        <v>內野</v>
      </c>
      <c r="H10" s="38" t="n">
        <v>6687</v>
      </c>
      <c r="I10" s="38" t="n">
        <v>6783</v>
      </c>
      <c r="J10" s="38" t="n">
        <v>23027</v>
      </c>
      <c r="K10" s="38" t="n">
        <v>10847</v>
      </c>
      <c r="L10" s="38" t="n">
        <v>44654</v>
      </c>
      <c r="M10" s="37" t="str">
        <f aca="false">INDEX($H$5:$L$5,MATCH(MAX(H10:L10),H10:L10,0))</f>
        <v>二刀流</v>
      </c>
    </row>
    <row r="11" customFormat="false" ht="15" hidden="false" customHeight="false" outlineLevel="0" collapsed="false">
      <c r="A11" s="35" t="s">
        <v>23</v>
      </c>
      <c r="B11" s="36" t="n">
        <v>80.24</v>
      </c>
      <c r="C11" s="36" t="n">
        <v>83.5</v>
      </c>
      <c r="D11" s="36" t="n">
        <v>378.68</v>
      </c>
      <c r="E11" s="36" t="n">
        <v>509.26</v>
      </c>
      <c r="F11" s="36" t="n">
        <v>30.96</v>
      </c>
      <c r="G11" s="37" t="str">
        <f aca="false">INDEX($B$5:$F$5,MATCH(MAX(B11:F11),B11:F11,0))</f>
        <v>外野</v>
      </c>
      <c r="H11" s="38" t="n">
        <v>12599</v>
      </c>
      <c r="I11" s="38" t="n">
        <v>6908</v>
      </c>
      <c r="J11" s="38" t="n">
        <v>41589</v>
      </c>
      <c r="K11" s="38" t="n">
        <v>34099</v>
      </c>
      <c r="L11" s="38" t="n">
        <v>13059</v>
      </c>
      <c r="M11" s="37" t="str">
        <f aca="false">INDEX($H$5:$L$5,MATCH(MAX(H11:L11),H11:L11,0))</f>
        <v>內野</v>
      </c>
    </row>
    <row r="12" customFormat="false" ht="15" hidden="false" customHeight="false" outlineLevel="0" collapsed="false">
      <c r="A12" s="35" t="s">
        <v>25</v>
      </c>
      <c r="B12" s="36" t="n">
        <v>35.13</v>
      </c>
      <c r="C12" s="36" t="n">
        <v>68.89</v>
      </c>
      <c r="D12" s="36" t="n">
        <v>197.68</v>
      </c>
      <c r="E12" s="36" t="n">
        <v>450.21</v>
      </c>
      <c r="F12" s="36" t="n">
        <v>275.13</v>
      </c>
      <c r="G12" s="37" t="str">
        <f aca="false">INDEX($B$5:$F$5,MATCH(MAX(B12:F12),B12:F12,0))</f>
        <v>外野</v>
      </c>
      <c r="H12" s="38" t="n">
        <v>8639</v>
      </c>
      <c r="I12" s="38" t="n">
        <v>6450</v>
      </c>
      <c r="J12" s="38" t="n">
        <v>13496</v>
      </c>
      <c r="K12" s="38" t="n">
        <v>23250</v>
      </c>
      <c r="L12" s="38" t="n">
        <v>40846</v>
      </c>
      <c r="M12" s="37" t="str">
        <f aca="false">INDEX($H$5:$L$5,MATCH(MAX(H12:L12),H12:L12,0))</f>
        <v>二刀流</v>
      </c>
    </row>
    <row r="13" customFormat="false" ht="15" hidden="false" customHeight="false" outlineLevel="0" collapsed="false">
      <c r="A13" s="35" t="s">
        <v>27</v>
      </c>
      <c r="B13" s="36" t="n">
        <v>487.51</v>
      </c>
      <c r="C13" s="36" t="n">
        <v>98.71</v>
      </c>
      <c r="D13" s="36" t="n">
        <v>294.66</v>
      </c>
      <c r="E13" s="36" t="n">
        <v>207.16</v>
      </c>
      <c r="F13" s="36" t="n">
        <v>241.18</v>
      </c>
      <c r="G13" s="37" t="str">
        <f aca="false">INDEX($B$5:$F$5,MATCH(MAX(B13:F13),B13:F13,0))</f>
        <v>投手</v>
      </c>
      <c r="H13" s="38" t="n">
        <v>23409</v>
      </c>
      <c r="I13" s="38" t="n">
        <v>19836</v>
      </c>
      <c r="J13" s="38" t="n">
        <v>48251</v>
      </c>
      <c r="K13" s="38" t="n">
        <v>42039</v>
      </c>
      <c r="L13" s="38" t="n">
        <v>18722</v>
      </c>
      <c r="M13" s="37" t="str">
        <f aca="false">INDEX($H$5:$L$5,MATCH(MAX(H13:L13),H13:L13,0))</f>
        <v>內野</v>
      </c>
    </row>
    <row r="14" customFormat="false" ht="15" hidden="false" customHeight="false" outlineLevel="0" collapsed="false">
      <c r="A14" s="35" t="s">
        <v>29</v>
      </c>
      <c r="B14" s="36" t="n">
        <v>68.57</v>
      </c>
      <c r="C14" s="36" t="n">
        <v>32.04</v>
      </c>
      <c r="D14" s="36" t="n">
        <v>351.6</v>
      </c>
      <c r="E14" s="36" t="n">
        <v>294.99</v>
      </c>
      <c r="F14" s="36" t="n">
        <v>119.75</v>
      </c>
      <c r="G14" s="37" t="str">
        <f aca="false">INDEX($B$5:$F$5,MATCH(MAX(B14:F14),B14:F14,0))</f>
        <v>內野</v>
      </c>
      <c r="H14" s="38" t="n">
        <v>12008</v>
      </c>
      <c r="I14" s="38" t="n">
        <v>4346</v>
      </c>
      <c r="J14" s="38" t="n">
        <v>33550</v>
      </c>
      <c r="K14" s="38" t="n">
        <v>19767</v>
      </c>
      <c r="L14" s="38" t="n">
        <v>14064</v>
      </c>
      <c r="M14" s="37" t="str">
        <f aca="false">INDEX($H$5:$L$5,MATCH(MAX(H14:L14),H14:L14,0))</f>
        <v>內野</v>
      </c>
    </row>
    <row r="15" customFormat="false" ht="15" hidden="false" customHeight="false" outlineLevel="0" collapsed="false">
      <c r="A15" s="35" t="s">
        <v>31</v>
      </c>
      <c r="B15" s="36" t="n">
        <v>14.24</v>
      </c>
      <c r="C15" s="36" t="n">
        <v>445.8</v>
      </c>
      <c r="D15" s="36" t="n">
        <v>170.85</v>
      </c>
      <c r="E15" s="36" t="n">
        <v>127.9</v>
      </c>
      <c r="F15" s="36" t="n">
        <v>147.98</v>
      </c>
      <c r="G15" s="37" t="str">
        <f aca="false">INDEX($B$5:$F$5,MATCH(MAX(B15:F15),B15:F15,0))</f>
        <v>捕手</v>
      </c>
      <c r="H15" s="38" t="n">
        <v>7449</v>
      </c>
      <c r="I15" s="38" t="n">
        <v>28388</v>
      </c>
      <c r="J15" s="38" t="n">
        <v>12845</v>
      </c>
      <c r="K15" s="38" t="n">
        <v>5745</v>
      </c>
      <c r="L15" s="38" t="n">
        <v>13718</v>
      </c>
      <c r="M15" s="37" t="str">
        <f aca="false">INDEX($H$5:$L$5,MATCH(MAX(H15:L15),H15:L15,0))</f>
        <v>捕手</v>
      </c>
    </row>
    <row r="16" customFormat="false" ht="15" hidden="false" customHeight="false" outlineLevel="0" collapsed="false">
      <c r="A16" s="35" t="s">
        <v>33</v>
      </c>
      <c r="B16" s="36" t="n">
        <v>29.49</v>
      </c>
      <c r="C16" s="36" t="n">
        <v>85.43</v>
      </c>
      <c r="D16" s="36" t="n">
        <v>153.72</v>
      </c>
      <c r="E16" s="36" t="n">
        <v>404.62</v>
      </c>
      <c r="F16" s="36" t="n">
        <v>189.26</v>
      </c>
      <c r="G16" s="37" t="str">
        <f aca="false">INDEX($B$5:$F$5,MATCH(MAX(B16:F16),B16:F16,0))</f>
        <v>外野</v>
      </c>
      <c r="H16" s="38" t="n">
        <v>11899</v>
      </c>
      <c r="I16" s="38" t="n">
        <v>1781</v>
      </c>
      <c r="J16" s="38" t="n">
        <v>20004</v>
      </c>
      <c r="K16" s="38" t="n">
        <v>43717</v>
      </c>
      <c r="L16" s="38" t="n">
        <v>11830</v>
      </c>
      <c r="M16" s="37" t="str">
        <f aca="false">INDEX($H$5:$L$5,MATCH(MAX(H16:L16),H16:L16,0))</f>
        <v>外野</v>
      </c>
    </row>
    <row r="17" customFormat="false" ht="15" hidden="false" customHeight="false" outlineLevel="0" collapsed="false">
      <c r="A17" s="35" t="s">
        <v>35</v>
      </c>
      <c r="B17" s="36" t="n">
        <v>446.24</v>
      </c>
      <c r="C17" s="36" t="n">
        <v>64.27</v>
      </c>
      <c r="D17" s="36" t="n">
        <v>329.78</v>
      </c>
      <c r="E17" s="36" t="n">
        <v>225.73</v>
      </c>
      <c r="F17" s="36" t="n">
        <v>86.68</v>
      </c>
      <c r="G17" s="37" t="str">
        <f aca="false">INDEX($B$5:$F$5,MATCH(MAX(B17:F17),B17:F17,0))</f>
        <v>投手</v>
      </c>
      <c r="H17" s="38" t="n">
        <v>29468</v>
      </c>
      <c r="I17" s="38" t="n">
        <v>5441</v>
      </c>
      <c r="J17" s="38" t="n">
        <v>33194</v>
      </c>
      <c r="K17" s="38" t="n">
        <v>15024</v>
      </c>
      <c r="L17" s="38" t="n">
        <v>16508</v>
      </c>
      <c r="M17" s="37" t="str">
        <f aca="false">INDEX($H$5:$L$5,MATCH(MAX(H17:L17),H17:L17,0))</f>
        <v>內野</v>
      </c>
    </row>
    <row r="18" customFormat="false" ht="15" hidden="false" customHeight="false" outlineLevel="0" collapsed="false">
      <c r="A18" s="35" t="s">
        <v>37</v>
      </c>
      <c r="B18" s="36" t="n">
        <v>60.98</v>
      </c>
      <c r="C18" s="36" t="n">
        <v>108.84</v>
      </c>
      <c r="D18" s="36" t="n">
        <v>281.56</v>
      </c>
      <c r="E18" s="36" t="n">
        <v>60.71</v>
      </c>
      <c r="F18" s="36" t="n">
        <v>69.9</v>
      </c>
      <c r="G18" s="37" t="str">
        <f aca="false">INDEX($B$5:$F$5,MATCH(MAX(B18:F18),B18:F18,0))</f>
        <v>內野</v>
      </c>
      <c r="H18" s="38" t="n">
        <v>11552</v>
      </c>
      <c r="I18" s="38" t="n">
        <v>24384</v>
      </c>
      <c r="J18" s="38" t="n">
        <v>22565</v>
      </c>
      <c r="K18" s="38" t="n">
        <v>12405</v>
      </c>
      <c r="L18" s="38" t="n">
        <v>14718</v>
      </c>
      <c r="M18" s="37" t="str">
        <f aca="false">INDEX($H$5:$L$5,MATCH(MAX(H18:L18),H18:L18,0))</f>
        <v>捕手</v>
      </c>
    </row>
  </sheetData>
  <mergeCells count="2">
    <mergeCell ref="B4:G4"/>
    <mergeCell ref="H4:M4"/>
  </mergeCells>
  <conditionalFormatting sqref="B6:F18">
    <cfRule type="expression" priority="2" aboveAverage="0" equalAverage="0" bottom="0" percent="0" rank="0" text="" dxfId="0">
      <formula>B6=MAX($B6:$F6)</formula>
    </cfRule>
  </conditionalFormatting>
  <conditionalFormatting sqref="H6:L18">
    <cfRule type="expression" priority="3" aboveAverage="0" equalAverage="0" bottom="0" percent="0" rank="0" text="" dxfId="0">
      <formula>H6=MAX($H6:$L6)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34" t="s">
        <v>73</v>
      </c>
    </row>
    <row r="3" customFormat="false" ht="45.75" hidden="false" customHeight="true" outlineLevel="0" collapsed="false">
      <c r="A3" s="39" t="s">
        <v>74</v>
      </c>
    </row>
    <row r="4" customFormat="false" ht="45.75" hidden="false" customHeight="true" outlineLevel="0" collapsed="false">
      <c r="A4" s="39" t="s">
        <v>75</v>
      </c>
    </row>
    <row r="5" customFormat="false" ht="45.75" hidden="false" customHeight="true" outlineLevel="0" collapsed="false">
      <c r="A5" s="39" t="s">
        <v>76</v>
      </c>
    </row>
    <row r="6" customFormat="false" ht="45.75" hidden="false" customHeight="true" outlineLevel="0" collapsed="false">
      <c r="A6" s="39" t="s">
        <v>77</v>
      </c>
    </row>
    <row r="7" customFormat="false" ht="45.75" hidden="false" customHeight="true" outlineLevel="0" collapsed="false">
      <c r="A7" s="39" t="s">
        <v>78</v>
      </c>
    </row>
    <row r="8" customFormat="false" ht="45.75" hidden="false" customHeight="true" outlineLevel="0" collapsed="false">
      <c r="A8" s="39" t="s">
        <v>79</v>
      </c>
    </row>
    <row r="9" customFormat="false" ht="45.75" hidden="false" customHeight="true" outlineLevel="0" collapsed="false">
      <c r="A9" s="39" t="s">
        <v>80</v>
      </c>
    </row>
    <row r="10" customFormat="false" ht="45.75" hidden="false" customHeight="true" outlineLevel="0" collapsed="false">
      <c r="A10" s="39" t="s">
        <v>81</v>
      </c>
    </row>
    <row r="11" customFormat="false" ht="45.75" hidden="false" customHeight="true" outlineLevel="0" collapsed="false">
      <c r="A11" s="39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2026-10-16T04:17:01Z</dcterms:created>
  <dc:creator>openpyxl</dc:creator>
  <dc:description/>
  <dc:language>en-US</dc:language>
  <cp:lastModifiedBy/>
  <dcterms:modified xsi:type="dcterms:W3CDTF">2026-10-16T04:17:01Z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